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s9ch\Desktop\"/>
    </mc:Choice>
  </mc:AlternateContent>
  <xr:revisionPtr revIDLastSave="0" documentId="13_ncr:1_{666E3A12-7F3D-4183-B811-566F997453AC}" xr6:coauthVersionLast="47" xr6:coauthVersionMax="47" xr10:uidLastSave="{00000000-0000-0000-0000-000000000000}"/>
  <bookViews>
    <workbookView xWindow="-120" yWindow="-120" windowWidth="38640" windowHeight="21120" activeTab="4" xr2:uid="{D99F11E6-6C9E-4F01-8658-ADC6CA952D2D}"/>
  </bookViews>
  <sheets>
    <sheet name="0119-raw" sheetId="1" r:id="rId1"/>
    <sheet name="0213-raw" sheetId="2" r:id="rId2"/>
    <sheet name="0716-raw" sheetId="5" r:id="rId3"/>
    <sheet name="pivot" sheetId="3" r:id="rId4"/>
    <sheet name="0119-v-0716" sheetId="7" r:id="rId5"/>
  </sheets>
  <calcPr calcId="191029"/>
  <pivotCaches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9" i="7" l="1"/>
  <c r="P28" i="7"/>
  <c r="L29" i="7"/>
  <c r="L28" i="7"/>
  <c r="P27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8" i="7"/>
  <c r="L27" i="7" s="1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2" i="3"/>
</calcChain>
</file>

<file path=xl/sharedStrings.xml><?xml version="1.0" encoding="utf-8"?>
<sst xmlns="http://schemas.openxmlformats.org/spreadsheetml/2006/main" count="344" uniqueCount="120">
  <si>
    <t>Name</t>
  </si>
  <si>
    <t>eval/loss</t>
  </si>
  <si>
    <t>n_params</t>
  </si>
  <si>
    <t>num_experts</t>
  </si>
  <si>
    <t>num_active_experts</t>
  </si>
  <si>
    <t>num_shared_experts</t>
  </si>
  <si>
    <t>train/global_step</t>
  </si>
  <si>
    <t>Runtime</t>
  </si>
  <si>
    <t>train/loss</t>
  </si>
  <si>
    <t>00_llama2_ref-0119</t>
  </si>
  <si>
    <t>137M</t>
  </si>
  <si>
    <t>01_moedl_dense-0119</t>
  </si>
  <si>
    <t>a0_moedl_no_lb-0119</t>
  </si>
  <si>
    <t>402M</t>
  </si>
  <si>
    <t>a1_moedl_lb_penalty-0119</t>
  </si>
  <si>
    <t>a2_moedl_lb_biasing-0119</t>
  </si>
  <si>
    <t>b1_moedl_e2_k1-0119</t>
  </si>
  <si>
    <t>175M</t>
  </si>
  <si>
    <t>b20_moedl_e4_k1_4ep-0119</t>
  </si>
  <si>
    <t>251M</t>
  </si>
  <si>
    <t>b2_moedl_e4_k1-0119</t>
  </si>
  <si>
    <t>b3_moedl_e8_k1-0119</t>
  </si>
  <si>
    <t>b4_moedl_e16_k1-0119</t>
  </si>
  <si>
    <t>704M</t>
  </si>
  <si>
    <t>c1_moedl_e8_k1-0119</t>
  </si>
  <si>
    <t>c2_moedl_e16_k2-0119</t>
  </si>
  <si>
    <t>c3_moedl_e32_k4-0119</t>
  </si>
  <si>
    <t>c4_moedl_e64_k8-0119</t>
  </si>
  <si>
    <t>d1_moedl_s0_k4_e32-0119</t>
  </si>
  <si>
    <t>d2_moedl_s1_k3_e31-0119</t>
  </si>
  <si>
    <t>d3_moedl_s2_k2_e30-0119</t>
  </si>
  <si>
    <t>d4_moedl_s3_k1_e29-0119</t>
  </si>
  <si>
    <t>e1_moedl_cf_1.0-0119</t>
  </si>
  <si>
    <t>e2_moedl_cf_1.5-0119</t>
  </si>
  <si>
    <t>e3_moedl_cf_2.0-0119</t>
  </si>
  <si>
    <t>e4_moedl_cf_2.5-0119</t>
  </si>
  <si>
    <t>a0_moedl_no_lb-0213</t>
  </si>
  <si>
    <t>a1_moedl_lb_penalty-0213</t>
  </si>
  <si>
    <t>a2_moedl_lb_biasing-0213</t>
  </si>
  <si>
    <t>b1_moedl_e2_k1-0213</t>
  </si>
  <si>
    <t>b2_moedl_e4_k1-0213</t>
  </si>
  <si>
    <t>b3_moedl_e8_k1-0213</t>
  </si>
  <si>
    <t>b4_moedl_e16_k1-0213</t>
  </si>
  <si>
    <t>c1_moedl_e8_k1-0213</t>
  </si>
  <si>
    <t>c2_moedl_e16_k2-0213</t>
  </si>
  <si>
    <t>c3_moedl_e32_k4-0213</t>
  </si>
  <si>
    <t>c4_moedl_e64_k8-0213</t>
  </si>
  <si>
    <t>d1_moedl_s0_k4_e32-0213</t>
  </si>
  <si>
    <t>d2_moedl_s1_k3_e31-0213</t>
  </si>
  <si>
    <t>d3_moedl_s2_k2_e30-0213</t>
  </si>
  <si>
    <t>d4_moedl_s3_k1_e29-0213</t>
  </si>
  <si>
    <t>e1_moedl_cf_1.0-0213</t>
  </si>
  <si>
    <t>e2_moedl_cf_1.5-0213</t>
  </si>
  <si>
    <t>e3_moedl_cf_2.0-0213</t>
  </si>
  <si>
    <t>e4_moedl_cf_2.5-0213</t>
  </si>
  <si>
    <t>00_llama2_ref</t>
  </si>
  <si>
    <t>01_moedl_dense</t>
  </si>
  <si>
    <t>a0_moedl_no_lb</t>
  </si>
  <si>
    <t>a1_moedl_lb_penalty</t>
  </si>
  <si>
    <t>a2_moedl_lb_biasing</t>
  </si>
  <si>
    <t>b1_moedl_e2_k1</t>
  </si>
  <si>
    <t>b2_moedl_e4_k1</t>
  </si>
  <si>
    <t>b3_moedl_e8_k1</t>
  </si>
  <si>
    <t>b4_moedl_e16_k1</t>
  </si>
  <si>
    <t>c1_moedl_e8_k1</t>
  </si>
  <si>
    <t>c2_moedl_e16_k2</t>
  </si>
  <si>
    <t>c3_moedl_e32_k4</t>
  </si>
  <si>
    <t>c4_moedl_e64_k8</t>
  </si>
  <si>
    <t>d1_moedl_s0_k4_e32</t>
  </si>
  <si>
    <t>d2_moedl_s1_k3_e31</t>
  </si>
  <si>
    <t>d3_moedl_s2_k2_e30</t>
  </si>
  <si>
    <t>d4_moedl_s3_k1_e29</t>
  </si>
  <si>
    <t>e1_moedl_cf_1.0</t>
  </si>
  <si>
    <t>e2_moedl_cf_1.5</t>
  </si>
  <si>
    <t>e3_moedl_cf_2.0</t>
  </si>
  <si>
    <t>e4_moedl_cf_2.5</t>
  </si>
  <si>
    <t>runtime (hr)</t>
  </si>
  <si>
    <t>runset</t>
  </si>
  <si>
    <t>Row Labels</t>
  </si>
  <si>
    <t>Grand Total</t>
  </si>
  <si>
    <t>Column Labels</t>
  </si>
  <si>
    <t>Sum of runtime (hr)</t>
  </si>
  <si>
    <t>01_moedl_dense-0716</t>
  </si>
  <si>
    <t>a0_moedl_no_lb-0716</t>
  </si>
  <si>
    <t>a1_moedl_lb_penalty-0716</t>
  </si>
  <si>
    <t>a2_moedl_lb_biasing-0716</t>
  </si>
  <si>
    <t>b1_moedl_e2_k1-0716</t>
  </si>
  <si>
    <t>b2_moedl_e4_k1-0716</t>
  </si>
  <si>
    <t>b3_moedl_e8_k1-0716</t>
  </si>
  <si>
    <t>b4_moedl_e16_k1-0716</t>
  </si>
  <si>
    <t>c1_moedl_e8_k1-0716</t>
  </si>
  <si>
    <t>c2_moedl_e16_k2-0716</t>
  </si>
  <si>
    <t>c3_moedl_e32_k4-0716</t>
  </si>
  <si>
    <t>c4_moedl_e64_k8-0716</t>
  </si>
  <si>
    <t>d1_moedl_s0_k4_e32-0716</t>
  </si>
  <si>
    <t>d2_moedl_s1_k3_e31-0716</t>
  </si>
  <si>
    <t>d3_moedl_s2_k2_e30-0716</t>
  </si>
  <si>
    <t>d4_moedl_s3_k1_e29-0716</t>
  </si>
  <si>
    <t>e1_moedl_cf_1.0-0716</t>
  </si>
  <si>
    <t>e2_moedl_cf_1.5-0716</t>
  </si>
  <si>
    <t>e3_moedl_cf_2.0-0716</t>
  </si>
  <si>
    <t>e4_moedl_cf_2.5-0716</t>
  </si>
  <si>
    <t>on_0119</t>
  </si>
  <si>
    <t>on_0213</t>
  </si>
  <si>
    <t>on_0716</t>
  </si>
  <si>
    <t>E</t>
  </si>
  <si>
    <t>K</t>
  </si>
  <si>
    <t>S</t>
  </si>
  <si>
    <t>run_0119</t>
  </si>
  <si>
    <t>run_0716</t>
  </si>
  <si>
    <t>Faster by</t>
  </si>
  <si>
    <t>change</t>
  </si>
  <si>
    <t>exp_id</t>
  </si>
  <si>
    <t>runtime in hrs</t>
  </si>
  <si>
    <t>mean</t>
  </si>
  <si>
    <t>max</t>
  </si>
  <si>
    <t>min</t>
  </si>
  <si>
    <t>eval loss</t>
  </si>
  <si>
    <t>expert compute by looping over experts with torch.mm</t>
  </si>
  <si>
    <t>expert compute by F.grouped_mm (autograded)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</si>
</sst>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8" formatCode="0.00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164" fontId="0" fillId="0" borderId="0" xfId="0" applyNumberForma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4" fontId="0" fillId="0" borderId="0" xfId="0" applyNumberFormat="1"/>
    <xf numFmtId="2" fontId="0" fillId="0" borderId="0" xfId="0" applyNumberFormat="1" applyAlignment="1">
      <alignment vertical="center"/>
    </xf>
    <xf numFmtId="2" fontId="0" fillId="0" borderId="0" xfId="0" applyNumberFormat="1"/>
    <xf numFmtId="168" fontId="0" fillId="0" borderId="0" xfId="0" applyNumberFormat="1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right" vertical="center"/>
    </xf>
    <xf numFmtId="0" fontId="0" fillId="0" borderId="4" xfId="0" applyBorder="1" applyAlignment="1">
      <alignment horizontal="left" vertical="center"/>
    </xf>
    <xf numFmtId="0" fontId="0" fillId="0" borderId="5" xfId="0" applyNumberFormat="1" applyBorder="1" applyAlignment="1">
      <alignment vertical="center"/>
    </xf>
    <xf numFmtId="2" fontId="0" fillId="0" borderId="5" xfId="0" applyNumberFormat="1" applyBorder="1" applyAlignment="1">
      <alignment vertical="center"/>
    </xf>
    <xf numFmtId="9" fontId="0" fillId="0" borderId="6" xfId="1" applyFont="1" applyBorder="1" applyAlignment="1">
      <alignment vertical="center"/>
    </xf>
    <xf numFmtId="0" fontId="0" fillId="0" borderId="7" xfId="0" applyBorder="1" applyAlignment="1">
      <alignment horizontal="left" vertical="center"/>
    </xf>
    <xf numFmtId="0" fontId="0" fillId="0" borderId="0" xfId="0" applyNumberFormat="1" applyBorder="1" applyAlignment="1">
      <alignment vertical="center"/>
    </xf>
    <xf numFmtId="2" fontId="0" fillId="0" borderId="0" xfId="0" applyNumberFormat="1" applyBorder="1" applyAlignment="1">
      <alignment vertical="center"/>
    </xf>
    <xf numFmtId="9" fontId="0" fillId="0" borderId="8" xfId="1" applyFont="1" applyBorder="1" applyAlignment="1">
      <alignment vertical="center"/>
    </xf>
    <xf numFmtId="0" fontId="0" fillId="0" borderId="9" xfId="0" applyBorder="1" applyAlignment="1">
      <alignment horizontal="left" vertical="center"/>
    </xf>
    <xf numFmtId="0" fontId="0" fillId="0" borderId="10" xfId="0" applyNumberFormat="1" applyBorder="1" applyAlignment="1">
      <alignment vertical="center"/>
    </xf>
    <xf numFmtId="2" fontId="0" fillId="0" borderId="10" xfId="0" applyNumberFormat="1" applyBorder="1" applyAlignment="1">
      <alignment vertical="center"/>
    </xf>
    <xf numFmtId="9" fontId="0" fillId="0" borderId="11" xfId="1" applyFont="1" applyBorder="1" applyAlignment="1">
      <alignment vertical="center"/>
    </xf>
    <xf numFmtId="164" fontId="0" fillId="0" borderId="4" xfId="0" applyNumberFormat="1" applyBorder="1" applyAlignment="1">
      <alignment vertical="center"/>
    </xf>
    <xf numFmtId="164" fontId="0" fillId="0" borderId="5" xfId="0" applyNumberFormat="1" applyBorder="1" applyAlignment="1">
      <alignment vertical="center"/>
    </xf>
    <xf numFmtId="10" fontId="0" fillId="0" borderId="6" xfId="1" applyNumberFormat="1" applyFont="1" applyBorder="1" applyAlignment="1">
      <alignment vertical="center"/>
    </xf>
    <xf numFmtId="164" fontId="0" fillId="0" borderId="7" xfId="0" applyNumberFormat="1" applyBorder="1" applyAlignment="1">
      <alignment vertical="center"/>
    </xf>
    <xf numFmtId="164" fontId="0" fillId="0" borderId="0" xfId="0" applyNumberFormat="1" applyBorder="1" applyAlignment="1">
      <alignment vertical="center"/>
    </xf>
    <xf numFmtId="10" fontId="0" fillId="0" borderId="8" xfId="1" applyNumberFormat="1" applyFont="1" applyBorder="1" applyAlignment="1">
      <alignment vertical="center"/>
    </xf>
    <xf numFmtId="164" fontId="0" fillId="0" borderId="9" xfId="0" applyNumberFormat="1" applyBorder="1" applyAlignment="1">
      <alignment vertical="center"/>
    </xf>
    <xf numFmtId="164" fontId="0" fillId="0" borderId="10" xfId="0" applyNumberFormat="1" applyBorder="1" applyAlignment="1">
      <alignment vertical="center"/>
    </xf>
    <xf numFmtId="10" fontId="0" fillId="0" borderId="11" xfId="1" applyNumberFormat="1" applyFont="1" applyBorder="1" applyAlignment="1">
      <alignment vertical="center"/>
    </xf>
    <xf numFmtId="2" fontId="0" fillId="0" borderId="4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4" xfId="0" applyNumberFormat="1" applyBorder="1" applyAlignment="1">
      <alignment vertical="center"/>
    </xf>
    <xf numFmtId="2" fontId="0" fillId="0" borderId="7" xfId="0" applyNumberFormat="1" applyBorder="1" applyAlignment="1">
      <alignment vertical="center"/>
    </xf>
    <xf numFmtId="2" fontId="0" fillId="0" borderId="9" xfId="0" applyNumberForma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0" xfId="0" applyFill="1" applyAlignment="1">
      <alignment vertical="center"/>
    </xf>
    <xf numFmtId="2" fontId="2" fillId="2" borderId="0" xfId="0" applyNumberFormat="1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9">
    <dxf>
      <numFmt numFmtId="2" formatCode="0.00"/>
      <alignment horizontal="general" vertical="center" textRotation="0" wrapText="0" indent="0" justifyLastLine="0" shrinkToFit="0" readingOrder="0"/>
    </dxf>
    <dxf>
      <numFmt numFmtId="164" formatCode="0.000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0.000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ui Seng Chua" refreshedDate="46220.384396412039" createdVersion="8" refreshedVersion="8" minRefreshableVersion="3" recordCount="60" xr:uid="{DB0BE73C-60FA-49F0-A783-F58232891712}">
  <cacheSource type="worksheet">
    <worksheetSource name="Table1"/>
  </cacheSource>
  <cacheFields count="6">
    <cacheField name="Name" numFmtId="0">
      <sharedItems count="21">
        <s v="00_llama2_ref"/>
        <s v="01_moedl_dense"/>
        <s v="a0_moedl_no_lb"/>
        <s v="a1_moedl_lb_penalty"/>
        <s v="a2_moedl_lb_biasing"/>
        <s v="b1_moedl_e2_k1"/>
        <s v="b2_moedl_e4_k1"/>
        <s v="b3_moedl_e8_k1"/>
        <s v="b4_moedl_e16_k1"/>
        <s v="c1_moedl_e8_k1"/>
        <s v="c2_moedl_e16_k2"/>
        <s v="c3_moedl_e32_k4"/>
        <s v="c4_moedl_e64_k8"/>
        <s v="d1_moedl_s0_k4_e32"/>
        <s v="d2_moedl_s1_k3_e31"/>
        <s v="d3_moedl_s2_k2_e30"/>
        <s v="d4_moedl_s3_k1_e29"/>
        <s v="e1_moedl_cf_1.0"/>
        <s v="e2_moedl_cf_1.5"/>
        <s v="e3_moedl_cf_2.0"/>
        <s v="e4_moedl_cf_2.5"/>
      </sharedItems>
    </cacheField>
    <cacheField name="runset" numFmtId="0">
      <sharedItems count="6">
        <s v="on_0119"/>
        <s v="on_0213"/>
        <s v="on_0716"/>
        <s v="a" u="1"/>
        <s v="b" u="1"/>
        <s v="c" u="1"/>
      </sharedItems>
    </cacheField>
    <cacheField name="eval/loss" numFmtId="164">
      <sharedItems containsSemiMixedTypes="0" containsString="0" containsNumber="1" minValue="1.0572606325149501" maxValue="1.1487896442413299"/>
    </cacheField>
    <cacheField name="Runtime" numFmtId="0">
      <sharedItems containsSemiMixedTypes="0" containsString="0" containsNumber="1" containsInteger="1" minValue="6744" maxValue="27565"/>
    </cacheField>
    <cacheField name="train/loss" numFmtId="164">
      <sharedItems containsSemiMixedTypes="0" containsString="0" containsNumber="1" minValue="1.0141" maxValue="1.129"/>
    </cacheField>
    <cacheField name="runtime (hr)" numFmtId="2">
      <sharedItems containsSemiMixedTypes="0" containsString="0" containsNumber="1" minValue="1.8733333333333333" maxValue="7.65694444444444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n v="1.11134445667266"/>
    <n v="6807"/>
    <n v="1.0844"/>
    <n v="1.8908333333333334"/>
  </r>
  <r>
    <x v="1"/>
    <x v="0"/>
    <n v="1.11118912696838"/>
    <n v="6791"/>
    <n v="1.0832999999999999"/>
    <n v="1.8863888888888889"/>
  </r>
  <r>
    <x v="2"/>
    <x v="0"/>
    <n v="1.12694776058197"/>
    <n v="10306"/>
    <n v="1.0932999999999999"/>
    <n v="2.8627777777777776"/>
  </r>
  <r>
    <x v="3"/>
    <x v="0"/>
    <n v="1.1370919942855799"/>
    <n v="10297"/>
    <n v="1.1208"/>
    <n v="2.8602777777777777"/>
  </r>
  <r>
    <x v="4"/>
    <x v="0"/>
    <n v="1.1295984983444201"/>
    <n v="10035"/>
    <n v="1.0992999999999999"/>
    <n v="2.7875000000000001"/>
  </r>
  <r>
    <x v="5"/>
    <x v="0"/>
    <n v="1.11804747581481"/>
    <n v="8395"/>
    <n v="1.0900000000000001"/>
    <n v="2.3319444444444444"/>
  </r>
  <r>
    <x v="6"/>
    <x v="0"/>
    <n v="1.1246691942214899"/>
    <n v="8867"/>
    <n v="1.0959000000000001"/>
    <n v="2.4630555555555556"/>
  </r>
  <r>
    <x v="7"/>
    <x v="0"/>
    <n v="1.1295984983444201"/>
    <n v="10085"/>
    <n v="1.0992999999999999"/>
    <n v="2.8013888888888889"/>
  </r>
  <r>
    <x v="8"/>
    <x v="0"/>
    <n v="1.1377271413803101"/>
    <n v="12924"/>
    <n v="1.1015999999999999"/>
    <n v="3.59"/>
  </r>
  <r>
    <x v="9"/>
    <x v="0"/>
    <n v="1.1295984983444201"/>
    <n v="10047"/>
    <n v="1.0992999999999999"/>
    <n v="2.7908333333333335"/>
  </r>
  <r>
    <x v="10"/>
    <x v="0"/>
    <n v="1.0658214092254601"/>
    <n v="12256"/>
    <n v="1.0236000000000001"/>
    <n v="3.4044444444444446"/>
  </r>
  <r>
    <x v="11"/>
    <x v="0"/>
    <n v="1.0581374168395901"/>
    <n v="17931"/>
    <n v="1.0144"/>
    <n v="4.980833333333333"/>
  </r>
  <r>
    <x v="12"/>
    <x v="0"/>
    <n v="1.05835402011871"/>
    <n v="27565"/>
    <n v="1.0149999999999999"/>
    <n v="7.6569444444444441"/>
  </r>
  <r>
    <x v="13"/>
    <x v="0"/>
    <n v="1.0581374168395901"/>
    <n v="17921"/>
    <n v="1.0144"/>
    <n v="4.9780555555555557"/>
  </r>
  <r>
    <x v="14"/>
    <x v="0"/>
    <n v="1.0572606325149501"/>
    <n v="17234"/>
    <n v="1.0141"/>
    <n v="4.7872222222222218"/>
  </r>
  <r>
    <x v="15"/>
    <x v="0"/>
    <n v="1.05996394157409"/>
    <n v="16477"/>
    <n v="1.0181"/>
    <n v="4.576944444444444"/>
  </r>
  <r>
    <x v="16"/>
    <x v="0"/>
    <n v="1.1013923883438099"/>
    <n v="15682"/>
    <n v="1.0670999999999999"/>
    <n v="4.3561111111111108"/>
  </r>
  <r>
    <x v="17"/>
    <x v="0"/>
    <n v="1.1316434144973699"/>
    <n v="10001"/>
    <n v="1.1021000000000001"/>
    <n v="2.7780555555555555"/>
  </r>
  <r>
    <x v="18"/>
    <x v="0"/>
    <n v="1.1320948600769001"/>
    <n v="9958"/>
    <n v="1.1024"/>
    <n v="2.766111111111111"/>
  </r>
  <r>
    <x v="19"/>
    <x v="0"/>
    <n v="1.1334214210510201"/>
    <n v="9864"/>
    <n v="1.1033999999999999"/>
    <n v="2.74"/>
  </r>
  <r>
    <x v="20"/>
    <x v="0"/>
    <n v="1.1313065290451001"/>
    <n v="9906"/>
    <n v="1.0993999999999999"/>
    <n v="2.7516666666666665"/>
  </r>
  <r>
    <x v="2"/>
    <x v="1"/>
    <n v="1.1323504447937001"/>
    <n v="8552"/>
    <n v="1.1006"/>
    <n v="2.3755555555555556"/>
  </r>
  <r>
    <x v="3"/>
    <x v="1"/>
    <n v="1.14303863048553"/>
    <n v="8578"/>
    <n v="1.129"/>
    <n v="2.3827777777777777"/>
  </r>
  <r>
    <x v="4"/>
    <x v="1"/>
    <n v="1.1407160758972099"/>
    <n v="8617"/>
    <n v="1.1076999999999999"/>
    <n v="2.3936111111111109"/>
  </r>
  <r>
    <x v="5"/>
    <x v="1"/>
    <n v="1.12241566181182"/>
    <n v="8071"/>
    <n v="1.0947"/>
    <n v="2.2419444444444445"/>
  </r>
  <r>
    <x v="6"/>
    <x v="1"/>
    <n v="1.13310766220092"/>
    <n v="8259"/>
    <n v="1.1032"/>
    <n v="2.2941666666666665"/>
  </r>
  <r>
    <x v="7"/>
    <x v="1"/>
    <n v="1.1407160758972099"/>
    <n v="8581"/>
    <n v="1.1076999999999999"/>
    <n v="2.3836111111111111"/>
  </r>
  <r>
    <x v="8"/>
    <x v="1"/>
    <n v="1.1485748291015601"/>
    <n v="9221"/>
    <n v="1.1133999999999999"/>
    <n v="2.5613888888888887"/>
  </r>
  <r>
    <x v="9"/>
    <x v="1"/>
    <n v="1.1407160758972099"/>
    <n v="8617"/>
    <n v="1.1076999999999999"/>
    <n v="2.3936111111111109"/>
  </r>
  <r>
    <x v="10"/>
    <x v="1"/>
    <n v="1.0782896280288601"/>
    <n v="9303"/>
    <n v="1.0401"/>
    <n v="2.5841666666666665"/>
  </r>
  <r>
    <x v="11"/>
    <x v="1"/>
    <n v="1.07253313064575"/>
    <n v="10792"/>
    <n v="1.034"/>
    <n v="2.9977777777777779"/>
  </r>
  <r>
    <x v="12"/>
    <x v="1"/>
    <n v="1.0703152418136499"/>
    <n v="14999"/>
    <n v="1.0306"/>
    <n v="4.1663888888888891"/>
  </r>
  <r>
    <x v="13"/>
    <x v="1"/>
    <n v="1.07376980781555"/>
    <n v="10781"/>
    <n v="1.0342"/>
    <n v="2.9947222222222223"/>
  </r>
  <r>
    <x v="14"/>
    <x v="1"/>
    <n v="1.0754539966583201"/>
    <n v="10442"/>
    <n v="1.0373000000000001"/>
    <n v="2.9005555555555556"/>
  </r>
  <r>
    <x v="15"/>
    <x v="1"/>
    <n v="1.0731346607208201"/>
    <n v="9952"/>
    <n v="1.0363"/>
    <n v="2.7644444444444445"/>
  </r>
  <r>
    <x v="16"/>
    <x v="1"/>
    <n v="1.10969054698944"/>
    <n v="9525"/>
    <n v="1.0783"/>
    <n v="2.6458333333333335"/>
  </r>
  <r>
    <x v="17"/>
    <x v="1"/>
    <n v="1.13574850559234"/>
    <n v="8859"/>
    <n v="1.1079000000000001"/>
    <n v="2.4608333333333334"/>
  </r>
  <r>
    <x v="18"/>
    <x v="1"/>
    <n v="1.1354947090148899"/>
    <n v="8722"/>
    <n v="1.1060000000000001"/>
    <n v="2.4227777777777777"/>
  </r>
  <r>
    <x v="19"/>
    <x v="1"/>
    <n v="1.1346573829650799"/>
    <n v="8662"/>
    <n v="1.1052"/>
    <n v="2.4061111111111111"/>
  </r>
  <r>
    <x v="20"/>
    <x v="1"/>
    <n v="1.13679718971252"/>
    <n v="8672"/>
    <n v="1.1067"/>
    <n v="2.4088888888888889"/>
  </r>
  <r>
    <x v="1"/>
    <x v="2"/>
    <n v="1.11041831970214"/>
    <n v="6744"/>
    <n v="1.0764"/>
    <n v="1.8733333333333333"/>
  </r>
  <r>
    <x v="2"/>
    <x v="2"/>
    <n v="1.1338026523589999"/>
    <n v="7844"/>
    <n v="1.0965"/>
    <n v="2.1788888888888889"/>
  </r>
  <r>
    <x v="3"/>
    <x v="2"/>
    <n v="1.1433684825897199"/>
    <n v="7815"/>
    <n v="1.1221000000000001"/>
    <n v="2.1708333333333334"/>
  </r>
  <r>
    <x v="4"/>
    <x v="2"/>
    <n v="1.14112961292266"/>
    <n v="7752"/>
    <n v="1.1035999999999999"/>
    <n v="2.1533333333333333"/>
  </r>
  <r>
    <x v="5"/>
    <x v="2"/>
    <n v="1.12357354164123"/>
    <n v="7449"/>
    <n v="1.0900000000000001"/>
    <n v="2.0691666666666668"/>
  </r>
  <r>
    <x v="6"/>
    <x v="2"/>
    <n v="1.1333440542221001"/>
    <n v="7552"/>
    <n v="1.0988"/>
    <n v="2.097777777777778"/>
  </r>
  <r>
    <x v="7"/>
    <x v="2"/>
    <n v="1.14112961292266"/>
    <n v="7748"/>
    <n v="1.1035999999999999"/>
    <n v="2.152222222222222"/>
  </r>
  <r>
    <x v="8"/>
    <x v="2"/>
    <n v="1.1487896442413299"/>
    <n v="8022"/>
    <n v="1.1071"/>
    <n v="2.2283333333333335"/>
  </r>
  <r>
    <x v="9"/>
    <x v="2"/>
    <n v="1.14112961292266"/>
    <n v="7756"/>
    <n v="1.1035999999999999"/>
    <n v="2.1544444444444446"/>
  </r>
  <r>
    <x v="10"/>
    <x v="2"/>
    <n v="1.0792680978775"/>
    <n v="8075"/>
    <n v="1.0364"/>
    <n v="2.2430555555555554"/>
  </r>
  <r>
    <x v="11"/>
    <x v="2"/>
    <n v="1.0744439363479601"/>
    <n v="8852"/>
    <n v="1.03"/>
    <n v="2.4588888888888887"/>
  </r>
  <r>
    <x v="12"/>
    <x v="2"/>
    <n v="1.0708967447280799"/>
    <n v="10997"/>
    <n v="1.0269999999999999"/>
    <n v="3.0547222222222223"/>
  </r>
  <r>
    <x v="13"/>
    <x v="2"/>
    <n v="1.0727070569992001"/>
    <n v="8877"/>
    <n v="1.0286999999999999"/>
    <n v="2.4658333333333333"/>
  </r>
  <r>
    <x v="14"/>
    <x v="2"/>
    <n v="1.0768737792968699"/>
    <n v="8753"/>
    <n v="1.0348999999999999"/>
    <n v="2.4313888888888888"/>
  </r>
  <r>
    <x v="15"/>
    <x v="2"/>
    <n v="1.07408607006073"/>
    <n v="8505"/>
    <n v="1.032"/>
    <n v="2.3624999999999998"/>
  </r>
  <r>
    <x v="16"/>
    <x v="2"/>
    <n v="1.1095719337463299"/>
    <n v="8254"/>
    <n v="1.0723"/>
    <n v="2.2927777777777778"/>
  </r>
  <r>
    <x v="17"/>
    <x v="2"/>
    <n v="1.13844954967498"/>
    <n v="8051"/>
    <n v="1.1045"/>
    <n v="2.236388888888889"/>
  </r>
  <r>
    <x v="18"/>
    <x v="2"/>
    <n v="1.13623511791229"/>
    <n v="8040"/>
    <n v="1.0996999999999999"/>
    <n v="2.2333333333333334"/>
  </r>
  <r>
    <x v="19"/>
    <x v="2"/>
    <n v="1.1337159872055"/>
    <n v="8051"/>
    <n v="1.0968"/>
    <n v="2.236388888888889"/>
  </r>
  <r>
    <x v="20"/>
    <x v="2"/>
    <n v="1.1349464654922401"/>
    <n v="8026"/>
    <n v="1.0989"/>
    <n v="2.22944444444444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85BE2E-4FC7-4481-AEC4-8E79198B4B4B}" name="PivotTable1" cacheId="5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K2:N25" firstHeaderRow="1" firstDataRow="2" firstDataCol="1"/>
  <pivotFields count="6"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axis="axisCol" showAll="0">
      <items count="7">
        <item m="1" x="3"/>
        <item m="1" x="4"/>
        <item m="1" x="5"/>
        <item x="0"/>
        <item x="1"/>
        <item x="2"/>
        <item t="default"/>
      </items>
    </pivotField>
    <pivotField numFmtId="164" showAll="0"/>
    <pivotField showAll="0"/>
    <pivotField showAll="0"/>
    <pivotField dataField="1" numFmtId="165"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1"/>
  </colFields>
  <colItems count="3">
    <i>
      <x v="3"/>
    </i>
    <i>
      <x v="4"/>
    </i>
    <i>
      <x v="5"/>
    </i>
  </colItems>
  <dataFields count="1">
    <dataField name="Sum of runtime (hr)" fld="5" baseField="0" baseItem="0" numFmtId="165"/>
  </dataFields>
  <formats count="1">
    <format dxfId="8">
      <pivotArea collapsedLevelsAreSubtotals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202B6C-2EA2-4A50-88E3-04167B97D8A9}" name="Table1" displayName="Table1" ref="A1:F61" totalsRowShown="0" headerRowDxfId="7" dataDxfId="6">
  <autoFilter ref="A1:F61" xr:uid="{9F202B6C-2EA2-4A50-88E3-04167B97D8A9}"/>
  <tableColumns count="6">
    <tableColumn id="1" xr3:uid="{2E703F20-0CF9-4764-A30A-A88FD2E4B35C}" name="Name" dataDxfId="5"/>
    <tableColumn id="2" xr3:uid="{268BFF4B-057A-4DF5-A2CB-01FB6763A8BD}" name="runset" dataDxfId="4"/>
    <tableColumn id="3" xr3:uid="{BC01A815-9F06-440F-A23C-060853D6DA55}" name="eval/loss" dataDxfId="3"/>
    <tableColumn id="4" xr3:uid="{7221096C-4730-4145-9A62-567EB5478AEE}" name="Runtime" dataDxfId="2"/>
    <tableColumn id="5" xr3:uid="{47145FC0-B006-49E0-A94B-62635FA4F89A}" name="train/loss" dataDxfId="1"/>
    <tableColumn id="6" xr3:uid="{88428E59-8D0A-4970-87D7-50C3EB5246D5}" name="runtime (hr)" dataDxfId="0">
      <calculatedColumnFormula>D2/3600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DCDA4-EEC2-4AFF-9E89-CD3F4FEFBCCB}">
  <dimension ref="A1:I23"/>
  <sheetViews>
    <sheetView workbookViewId="0">
      <selection activeCell="F42" sqref="F42"/>
    </sheetView>
  </sheetViews>
  <sheetFormatPr defaultRowHeight="15" x14ac:dyDescent="0.25"/>
  <cols>
    <col min="1" max="1" width="25.5703125" bestFit="1" customWidth="1"/>
    <col min="2" max="2" width="12" bestFit="1" customWidth="1"/>
    <col min="3" max="3" width="9.85546875" bestFit="1" customWidth="1"/>
    <col min="4" max="4" width="12.140625" bestFit="1" customWidth="1"/>
    <col min="5" max="5" width="18.42578125" bestFit="1" customWidth="1"/>
    <col min="6" max="6" width="19.42578125" bestFit="1" customWidth="1"/>
    <col min="7" max="7" width="16.140625" bestFit="1" customWidth="1"/>
    <col min="8" max="8" width="8.28515625" bestFit="1" customWidth="1"/>
    <col min="9" max="9" width="9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1.11134445667266</v>
      </c>
      <c r="C2" t="s">
        <v>10</v>
      </c>
      <c r="G2">
        <v>15682</v>
      </c>
      <c r="H2">
        <v>6807</v>
      </c>
      <c r="I2">
        <v>1.0844</v>
      </c>
    </row>
    <row r="3" spans="1:9" x14ac:dyDescent="0.25">
      <c r="A3" t="s">
        <v>11</v>
      </c>
      <c r="B3">
        <v>1.11118912696838</v>
      </c>
      <c r="C3" t="s">
        <v>10</v>
      </c>
      <c r="D3">
        <v>1</v>
      </c>
      <c r="E3">
        <v>1</v>
      </c>
      <c r="F3">
        <v>0</v>
      </c>
      <c r="G3">
        <v>15682</v>
      </c>
      <c r="H3">
        <v>6791</v>
      </c>
      <c r="I3">
        <v>1.0832999999999999</v>
      </c>
    </row>
    <row r="4" spans="1:9" x14ac:dyDescent="0.25">
      <c r="A4" t="s">
        <v>12</v>
      </c>
      <c r="B4">
        <v>1.12694776058197</v>
      </c>
      <c r="C4" t="s">
        <v>13</v>
      </c>
      <c r="D4">
        <v>8</v>
      </c>
      <c r="E4">
        <v>1</v>
      </c>
      <c r="F4">
        <v>0</v>
      </c>
      <c r="G4">
        <v>15682</v>
      </c>
      <c r="H4">
        <v>10306</v>
      </c>
      <c r="I4">
        <v>1.0932999999999999</v>
      </c>
    </row>
    <row r="5" spans="1:9" x14ac:dyDescent="0.25">
      <c r="A5" t="s">
        <v>14</v>
      </c>
      <c r="B5">
        <v>1.1370919942855799</v>
      </c>
      <c r="C5" t="s">
        <v>13</v>
      </c>
      <c r="D5">
        <v>8</v>
      </c>
      <c r="E5">
        <v>1</v>
      </c>
      <c r="F5">
        <v>0</v>
      </c>
      <c r="G5">
        <v>15682</v>
      </c>
      <c r="H5">
        <v>10297</v>
      </c>
      <c r="I5">
        <v>1.1208</v>
      </c>
    </row>
    <row r="6" spans="1:9" x14ac:dyDescent="0.25">
      <c r="A6" t="s">
        <v>15</v>
      </c>
      <c r="B6">
        <v>1.1295984983444201</v>
      </c>
      <c r="C6" t="s">
        <v>13</v>
      </c>
      <c r="D6">
        <v>8</v>
      </c>
      <c r="E6">
        <v>1</v>
      </c>
      <c r="F6">
        <v>0</v>
      </c>
      <c r="G6">
        <v>15682</v>
      </c>
      <c r="H6">
        <v>10035</v>
      </c>
      <c r="I6">
        <v>1.0992999999999999</v>
      </c>
    </row>
    <row r="7" spans="1:9" x14ac:dyDescent="0.25">
      <c r="A7" t="s">
        <v>16</v>
      </c>
      <c r="B7">
        <v>1.11804747581481</v>
      </c>
      <c r="C7" t="s">
        <v>17</v>
      </c>
      <c r="D7">
        <v>2</v>
      </c>
      <c r="E7">
        <v>1</v>
      </c>
      <c r="F7">
        <v>0</v>
      </c>
      <c r="G7">
        <v>15682</v>
      </c>
      <c r="H7">
        <v>8395</v>
      </c>
      <c r="I7">
        <v>1.0900000000000001</v>
      </c>
    </row>
    <row r="8" spans="1:9" x14ac:dyDescent="0.25">
      <c r="A8" t="s">
        <v>18</v>
      </c>
      <c r="B8">
        <v>1.0825556516647299</v>
      </c>
      <c r="C8" t="s">
        <v>19</v>
      </c>
      <c r="D8">
        <v>4</v>
      </c>
      <c r="E8">
        <v>1</v>
      </c>
      <c r="F8">
        <v>0</v>
      </c>
      <c r="G8">
        <v>31364</v>
      </c>
      <c r="H8">
        <v>16875</v>
      </c>
      <c r="I8">
        <v>0.99390000000000001</v>
      </c>
    </row>
    <row r="9" spans="1:9" x14ac:dyDescent="0.25">
      <c r="A9" t="s">
        <v>20</v>
      </c>
      <c r="B9">
        <v>1.1246691942214899</v>
      </c>
      <c r="C9" t="s">
        <v>19</v>
      </c>
      <c r="D9">
        <v>4</v>
      </c>
      <c r="E9">
        <v>1</v>
      </c>
      <c r="F9">
        <v>0</v>
      </c>
      <c r="G9">
        <v>15682</v>
      </c>
      <c r="H9">
        <v>8867</v>
      </c>
      <c r="I9">
        <v>1.0959000000000001</v>
      </c>
    </row>
    <row r="10" spans="1:9" x14ac:dyDescent="0.25">
      <c r="A10" t="s">
        <v>21</v>
      </c>
      <c r="B10">
        <v>1.1295984983444201</v>
      </c>
      <c r="C10" t="s">
        <v>13</v>
      </c>
      <c r="D10">
        <v>8</v>
      </c>
      <c r="E10">
        <v>1</v>
      </c>
      <c r="F10">
        <v>0</v>
      </c>
      <c r="G10">
        <v>15682</v>
      </c>
      <c r="H10">
        <v>10085</v>
      </c>
      <c r="I10">
        <v>1.0992999999999999</v>
      </c>
    </row>
    <row r="11" spans="1:9" x14ac:dyDescent="0.25">
      <c r="A11" t="s">
        <v>22</v>
      </c>
      <c r="B11">
        <v>1.1377271413803101</v>
      </c>
      <c r="C11" t="s">
        <v>23</v>
      </c>
      <c r="D11">
        <v>16</v>
      </c>
      <c r="E11">
        <v>1</v>
      </c>
      <c r="F11">
        <v>0</v>
      </c>
      <c r="G11">
        <v>15682</v>
      </c>
      <c r="H11">
        <v>12924</v>
      </c>
      <c r="I11">
        <v>1.1015999999999999</v>
      </c>
    </row>
    <row r="12" spans="1:9" x14ac:dyDescent="0.25">
      <c r="A12" t="s">
        <v>24</v>
      </c>
      <c r="B12">
        <v>1.1295984983444201</v>
      </c>
      <c r="C12" t="s">
        <v>13</v>
      </c>
      <c r="D12">
        <v>8</v>
      </c>
      <c r="E12">
        <v>1</v>
      </c>
      <c r="F12">
        <v>0</v>
      </c>
      <c r="G12">
        <v>15682</v>
      </c>
      <c r="H12">
        <v>10047</v>
      </c>
      <c r="I12">
        <v>1.0992999999999999</v>
      </c>
    </row>
    <row r="13" spans="1:9" x14ac:dyDescent="0.25">
      <c r="A13" t="s">
        <v>25</v>
      </c>
      <c r="B13">
        <v>1.0658214092254601</v>
      </c>
      <c r="C13" t="s">
        <v>13</v>
      </c>
      <c r="D13">
        <v>16</v>
      </c>
      <c r="E13">
        <v>2</v>
      </c>
      <c r="F13">
        <v>0</v>
      </c>
      <c r="G13">
        <v>15682</v>
      </c>
      <c r="H13">
        <v>12256</v>
      </c>
      <c r="I13">
        <v>1.0236000000000001</v>
      </c>
    </row>
    <row r="14" spans="1:9" x14ac:dyDescent="0.25">
      <c r="A14" t="s">
        <v>26</v>
      </c>
      <c r="B14">
        <v>1.0581374168395901</v>
      </c>
      <c r="C14" t="s">
        <v>13</v>
      </c>
      <c r="D14">
        <v>32</v>
      </c>
      <c r="E14">
        <v>4</v>
      </c>
      <c r="F14">
        <v>0</v>
      </c>
      <c r="G14">
        <v>15682</v>
      </c>
      <c r="H14">
        <v>17931</v>
      </c>
      <c r="I14">
        <v>1.0144</v>
      </c>
    </row>
    <row r="15" spans="1:9" x14ac:dyDescent="0.25">
      <c r="A15" t="s">
        <v>27</v>
      </c>
      <c r="B15">
        <v>1.05835402011871</v>
      </c>
      <c r="C15" t="s">
        <v>13</v>
      </c>
      <c r="D15">
        <v>64</v>
      </c>
      <c r="E15">
        <v>8</v>
      </c>
      <c r="F15">
        <v>0</v>
      </c>
      <c r="G15">
        <v>15682</v>
      </c>
      <c r="H15">
        <v>27565</v>
      </c>
      <c r="I15">
        <v>1.0149999999999999</v>
      </c>
    </row>
    <row r="16" spans="1:9" x14ac:dyDescent="0.25">
      <c r="A16" t="s">
        <v>28</v>
      </c>
      <c r="B16">
        <v>1.0581374168395901</v>
      </c>
      <c r="C16" t="s">
        <v>13</v>
      </c>
      <c r="D16">
        <v>32</v>
      </c>
      <c r="E16">
        <v>4</v>
      </c>
      <c r="F16">
        <v>0</v>
      </c>
      <c r="G16">
        <v>15682</v>
      </c>
      <c r="H16">
        <v>17921</v>
      </c>
      <c r="I16">
        <v>1.0144</v>
      </c>
    </row>
    <row r="17" spans="1:9" x14ac:dyDescent="0.25">
      <c r="A17" t="s">
        <v>29</v>
      </c>
      <c r="B17">
        <v>1.0572606325149501</v>
      </c>
      <c r="C17" t="s">
        <v>13</v>
      </c>
      <c r="D17">
        <v>31</v>
      </c>
      <c r="E17">
        <v>3</v>
      </c>
      <c r="F17">
        <v>1</v>
      </c>
      <c r="G17">
        <v>15682</v>
      </c>
      <c r="H17">
        <v>17234</v>
      </c>
      <c r="I17">
        <v>1.0141</v>
      </c>
    </row>
    <row r="18" spans="1:9" x14ac:dyDescent="0.25">
      <c r="A18" t="s">
        <v>30</v>
      </c>
      <c r="B18">
        <v>1.05996394157409</v>
      </c>
      <c r="C18" t="s">
        <v>13</v>
      </c>
      <c r="D18">
        <v>30</v>
      </c>
      <c r="E18">
        <v>2</v>
      </c>
      <c r="F18">
        <v>2</v>
      </c>
      <c r="G18">
        <v>15682</v>
      </c>
      <c r="H18">
        <v>16477</v>
      </c>
      <c r="I18">
        <v>1.0181</v>
      </c>
    </row>
    <row r="19" spans="1:9" x14ac:dyDescent="0.25">
      <c r="A19" t="s">
        <v>31</v>
      </c>
      <c r="B19">
        <v>1.1013923883438099</v>
      </c>
      <c r="C19" t="s">
        <v>13</v>
      </c>
      <c r="D19">
        <v>29</v>
      </c>
      <c r="E19">
        <v>1</v>
      </c>
      <c r="F19">
        <v>3</v>
      </c>
      <c r="G19">
        <v>15682</v>
      </c>
      <c r="H19">
        <v>15682</v>
      </c>
      <c r="I19">
        <v>1.0670999999999999</v>
      </c>
    </row>
    <row r="20" spans="1:9" x14ac:dyDescent="0.25">
      <c r="A20" t="s">
        <v>32</v>
      </c>
      <c r="B20">
        <v>1.1316434144973699</v>
      </c>
      <c r="C20" t="s">
        <v>13</v>
      </c>
      <c r="D20">
        <v>8</v>
      </c>
      <c r="E20">
        <v>1</v>
      </c>
      <c r="F20">
        <v>0</v>
      </c>
      <c r="G20">
        <v>15682</v>
      </c>
      <c r="H20">
        <v>10001</v>
      </c>
      <c r="I20">
        <v>1.1021000000000001</v>
      </c>
    </row>
    <row r="21" spans="1:9" x14ac:dyDescent="0.25">
      <c r="A21" t="s">
        <v>33</v>
      </c>
      <c r="B21">
        <v>1.1320948600769001</v>
      </c>
      <c r="C21" t="s">
        <v>13</v>
      </c>
      <c r="D21">
        <v>8</v>
      </c>
      <c r="E21">
        <v>1</v>
      </c>
      <c r="F21">
        <v>0</v>
      </c>
      <c r="G21">
        <v>15682</v>
      </c>
      <c r="H21">
        <v>9958</v>
      </c>
      <c r="I21">
        <v>1.1024</v>
      </c>
    </row>
    <row r="22" spans="1:9" x14ac:dyDescent="0.25">
      <c r="A22" t="s">
        <v>34</v>
      </c>
      <c r="B22">
        <v>1.1334214210510201</v>
      </c>
      <c r="C22" t="s">
        <v>13</v>
      </c>
      <c r="D22">
        <v>8</v>
      </c>
      <c r="E22">
        <v>1</v>
      </c>
      <c r="F22">
        <v>0</v>
      </c>
      <c r="G22">
        <v>15682</v>
      </c>
      <c r="H22">
        <v>9864</v>
      </c>
      <c r="I22">
        <v>1.1033999999999999</v>
      </c>
    </row>
    <row r="23" spans="1:9" x14ac:dyDescent="0.25">
      <c r="A23" t="s">
        <v>35</v>
      </c>
      <c r="B23">
        <v>1.1313065290451001</v>
      </c>
      <c r="C23" t="s">
        <v>13</v>
      </c>
      <c r="D23">
        <v>8</v>
      </c>
      <c r="E23">
        <v>1</v>
      </c>
      <c r="F23">
        <v>0</v>
      </c>
      <c r="G23">
        <v>15682</v>
      </c>
      <c r="H23">
        <v>9906</v>
      </c>
      <c r="I23">
        <v>1.0993999999999999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04217-6324-404F-AA94-D2BC10595591}">
  <dimension ref="A1:I20"/>
  <sheetViews>
    <sheetView workbookViewId="0">
      <selection activeCell="E20" sqref="E20"/>
    </sheetView>
  </sheetViews>
  <sheetFormatPr defaultRowHeight="15" x14ac:dyDescent="0.25"/>
  <cols>
    <col min="1" max="1" width="24.7109375" bestFit="1" customWidth="1"/>
    <col min="2" max="2" width="12" bestFit="1" customWidth="1"/>
    <col min="3" max="3" width="9.85546875" bestFit="1" customWidth="1"/>
    <col min="4" max="4" width="12.140625" bestFit="1" customWidth="1"/>
    <col min="5" max="5" width="18.42578125" bestFit="1" customWidth="1"/>
    <col min="6" max="6" width="19.42578125" bestFit="1" customWidth="1"/>
    <col min="7" max="7" width="16.140625" bestFit="1" customWidth="1"/>
    <col min="8" max="8" width="8.28515625" bestFit="1" customWidth="1"/>
    <col min="9" max="9" width="9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36</v>
      </c>
      <c r="B2">
        <v>1.1323504447937001</v>
      </c>
      <c r="C2" t="s">
        <v>13</v>
      </c>
      <c r="D2">
        <v>8</v>
      </c>
      <c r="E2">
        <v>1</v>
      </c>
      <c r="F2">
        <v>0</v>
      </c>
      <c r="G2">
        <v>15682</v>
      </c>
      <c r="H2">
        <v>8552</v>
      </c>
      <c r="I2">
        <v>1.1006</v>
      </c>
    </row>
    <row r="3" spans="1:9" x14ac:dyDescent="0.25">
      <c r="A3" t="s">
        <v>37</v>
      </c>
      <c r="B3">
        <v>1.14303863048553</v>
      </c>
      <c r="C3" t="s">
        <v>13</v>
      </c>
      <c r="D3">
        <v>8</v>
      </c>
      <c r="E3">
        <v>1</v>
      </c>
      <c r="F3">
        <v>0</v>
      </c>
      <c r="G3">
        <v>15682</v>
      </c>
      <c r="H3">
        <v>8578</v>
      </c>
      <c r="I3">
        <v>1.129</v>
      </c>
    </row>
    <row r="4" spans="1:9" x14ac:dyDescent="0.25">
      <c r="A4" t="s">
        <v>38</v>
      </c>
      <c r="B4">
        <v>1.1407160758972099</v>
      </c>
      <c r="C4" t="s">
        <v>13</v>
      </c>
      <c r="D4">
        <v>8</v>
      </c>
      <c r="E4">
        <v>1</v>
      </c>
      <c r="F4">
        <v>0</v>
      </c>
      <c r="G4">
        <v>15682</v>
      </c>
      <c r="H4">
        <v>8617</v>
      </c>
      <c r="I4">
        <v>1.1076999999999999</v>
      </c>
    </row>
    <row r="5" spans="1:9" x14ac:dyDescent="0.25">
      <c r="A5" t="s">
        <v>39</v>
      </c>
      <c r="B5">
        <v>1.12241566181182</v>
      </c>
      <c r="C5" t="s">
        <v>17</v>
      </c>
      <c r="D5">
        <v>2</v>
      </c>
      <c r="E5">
        <v>1</v>
      </c>
      <c r="F5">
        <v>0</v>
      </c>
      <c r="G5">
        <v>15682</v>
      </c>
      <c r="H5">
        <v>8071</v>
      </c>
      <c r="I5">
        <v>1.0947</v>
      </c>
    </row>
    <row r="6" spans="1:9" x14ac:dyDescent="0.25">
      <c r="A6" t="s">
        <v>40</v>
      </c>
      <c r="B6">
        <v>1.13310766220092</v>
      </c>
      <c r="C6" t="s">
        <v>19</v>
      </c>
      <c r="D6">
        <v>4</v>
      </c>
      <c r="E6">
        <v>1</v>
      </c>
      <c r="F6">
        <v>0</v>
      </c>
      <c r="G6">
        <v>15682</v>
      </c>
      <c r="H6">
        <v>8259</v>
      </c>
      <c r="I6">
        <v>1.1032</v>
      </c>
    </row>
    <row r="7" spans="1:9" x14ac:dyDescent="0.25">
      <c r="A7" t="s">
        <v>41</v>
      </c>
      <c r="B7">
        <v>1.1407160758972099</v>
      </c>
      <c r="C7" t="s">
        <v>13</v>
      </c>
      <c r="D7">
        <v>8</v>
      </c>
      <c r="E7">
        <v>1</v>
      </c>
      <c r="F7">
        <v>0</v>
      </c>
      <c r="G7">
        <v>15682</v>
      </c>
      <c r="H7">
        <v>8581</v>
      </c>
      <c r="I7">
        <v>1.1076999999999999</v>
      </c>
    </row>
    <row r="8" spans="1:9" x14ac:dyDescent="0.25">
      <c r="A8" t="s">
        <v>42</v>
      </c>
      <c r="B8">
        <v>1.1485748291015601</v>
      </c>
      <c r="C8" t="s">
        <v>23</v>
      </c>
      <c r="D8">
        <v>16</v>
      </c>
      <c r="E8">
        <v>1</v>
      </c>
      <c r="F8">
        <v>0</v>
      </c>
      <c r="G8">
        <v>15682</v>
      </c>
      <c r="H8">
        <v>9221</v>
      </c>
      <c r="I8">
        <v>1.1133999999999999</v>
      </c>
    </row>
    <row r="9" spans="1:9" x14ac:dyDescent="0.25">
      <c r="A9" t="s">
        <v>43</v>
      </c>
      <c r="B9">
        <v>1.1407160758972099</v>
      </c>
      <c r="C9" t="s">
        <v>13</v>
      </c>
      <c r="D9">
        <v>8</v>
      </c>
      <c r="E9">
        <v>1</v>
      </c>
      <c r="F9">
        <v>0</v>
      </c>
      <c r="G9">
        <v>15682</v>
      </c>
      <c r="H9">
        <v>8617</v>
      </c>
      <c r="I9">
        <v>1.1076999999999999</v>
      </c>
    </row>
    <row r="10" spans="1:9" x14ac:dyDescent="0.25">
      <c r="A10" t="s">
        <v>44</v>
      </c>
      <c r="B10">
        <v>1.0782896280288601</v>
      </c>
      <c r="C10" t="s">
        <v>13</v>
      </c>
      <c r="D10">
        <v>16</v>
      </c>
      <c r="E10">
        <v>2</v>
      </c>
      <c r="F10">
        <v>0</v>
      </c>
      <c r="G10">
        <v>15682</v>
      </c>
      <c r="H10">
        <v>9303</v>
      </c>
      <c r="I10">
        <v>1.0401</v>
      </c>
    </row>
    <row r="11" spans="1:9" x14ac:dyDescent="0.25">
      <c r="A11" t="s">
        <v>45</v>
      </c>
      <c r="B11">
        <v>1.07253313064575</v>
      </c>
      <c r="C11" t="s">
        <v>13</v>
      </c>
      <c r="D11">
        <v>32</v>
      </c>
      <c r="E11">
        <v>4</v>
      </c>
      <c r="F11">
        <v>0</v>
      </c>
      <c r="G11">
        <v>15682</v>
      </c>
      <c r="H11">
        <v>10792</v>
      </c>
      <c r="I11">
        <v>1.034</v>
      </c>
    </row>
    <row r="12" spans="1:9" x14ac:dyDescent="0.25">
      <c r="A12" t="s">
        <v>46</v>
      </c>
      <c r="B12">
        <v>1.0703152418136499</v>
      </c>
      <c r="C12" t="s">
        <v>13</v>
      </c>
      <c r="D12">
        <v>64</v>
      </c>
      <c r="E12">
        <v>8</v>
      </c>
      <c r="F12">
        <v>0</v>
      </c>
      <c r="G12">
        <v>15682</v>
      </c>
      <c r="H12">
        <v>14999</v>
      </c>
      <c r="I12">
        <v>1.0306</v>
      </c>
    </row>
    <row r="13" spans="1:9" x14ac:dyDescent="0.25">
      <c r="A13" t="s">
        <v>47</v>
      </c>
      <c r="B13">
        <v>1.07376980781555</v>
      </c>
      <c r="C13" t="s">
        <v>13</v>
      </c>
      <c r="D13">
        <v>32</v>
      </c>
      <c r="E13">
        <v>4</v>
      </c>
      <c r="F13">
        <v>0</v>
      </c>
      <c r="G13">
        <v>15682</v>
      </c>
      <c r="H13">
        <v>10781</v>
      </c>
      <c r="I13">
        <v>1.0342</v>
      </c>
    </row>
    <row r="14" spans="1:9" x14ac:dyDescent="0.25">
      <c r="A14" t="s">
        <v>48</v>
      </c>
      <c r="B14">
        <v>1.0754539966583201</v>
      </c>
      <c r="C14" t="s">
        <v>13</v>
      </c>
      <c r="D14">
        <v>31</v>
      </c>
      <c r="E14">
        <v>3</v>
      </c>
      <c r="F14">
        <v>1</v>
      </c>
      <c r="G14">
        <v>15682</v>
      </c>
      <c r="H14">
        <v>10442</v>
      </c>
      <c r="I14">
        <v>1.0373000000000001</v>
      </c>
    </row>
    <row r="15" spans="1:9" x14ac:dyDescent="0.25">
      <c r="A15" t="s">
        <v>49</v>
      </c>
      <c r="B15">
        <v>1.0731346607208201</v>
      </c>
      <c r="C15" t="s">
        <v>13</v>
      </c>
      <c r="D15">
        <v>30</v>
      </c>
      <c r="E15">
        <v>2</v>
      </c>
      <c r="F15">
        <v>2</v>
      </c>
      <c r="G15">
        <v>15682</v>
      </c>
      <c r="H15">
        <v>9952</v>
      </c>
      <c r="I15">
        <v>1.0363</v>
      </c>
    </row>
    <row r="16" spans="1:9" x14ac:dyDescent="0.25">
      <c r="A16" t="s">
        <v>50</v>
      </c>
      <c r="B16">
        <v>1.10969054698944</v>
      </c>
      <c r="C16" t="s">
        <v>13</v>
      </c>
      <c r="D16">
        <v>29</v>
      </c>
      <c r="E16">
        <v>1</v>
      </c>
      <c r="F16">
        <v>3</v>
      </c>
      <c r="G16">
        <v>15682</v>
      </c>
      <c r="H16">
        <v>9525</v>
      </c>
      <c r="I16">
        <v>1.0783</v>
      </c>
    </row>
    <row r="17" spans="1:9" x14ac:dyDescent="0.25">
      <c r="A17" t="s">
        <v>51</v>
      </c>
      <c r="B17">
        <v>1.13574850559234</v>
      </c>
      <c r="C17" t="s">
        <v>13</v>
      </c>
      <c r="D17">
        <v>8</v>
      </c>
      <c r="E17">
        <v>1</v>
      </c>
      <c r="F17">
        <v>0</v>
      </c>
      <c r="G17">
        <v>15682</v>
      </c>
      <c r="H17">
        <v>8859</v>
      </c>
      <c r="I17">
        <v>1.1079000000000001</v>
      </c>
    </row>
    <row r="18" spans="1:9" x14ac:dyDescent="0.25">
      <c r="A18" t="s">
        <v>52</v>
      </c>
      <c r="B18">
        <v>1.1354947090148899</v>
      </c>
      <c r="C18" t="s">
        <v>13</v>
      </c>
      <c r="D18">
        <v>8</v>
      </c>
      <c r="E18">
        <v>1</v>
      </c>
      <c r="F18">
        <v>0</v>
      </c>
      <c r="G18">
        <v>15682</v>
      </c>
      <c r="H18">
        <v>8722</v>
      </c>
      <c r="I18">
        <v>1.1060000000000001</v>
      </c>
    </row>
    <row r="19" spans="1:9" x14ac:dyDescent="0.25">
      <c r="A19" t="s">
        <v>53</v>
      </c>
      <c r="B19">
        <v>1.1346573829650799</v>
      </c>
      <c r="C19" t="s">
        <v>13</v>
      </c>
      <c r="D19">
        <v>8</v>
      </c>
      <c r="E19">
        <v>1</v>
      </c>
      <c r="F19">
        <v>0</v>
      </c>
      <c r="G19">
        <v>15682</v>
      </c>
      <c r="H19">
        <v>8662</v>
      </c>
      <c r="I19">
        <v>1.1052</v>
      </c>
    </row>
    <row r="20" spans="1:9" x14ac:dyDescent="0.25">
      <c r="A20" t="s">
        <v>54</v>
      </c>
      <c r="B20">
        <v>1.13679718971252</v>
      </c>
      <c r="C20" t="s">
        <v>13</v>
      </c>
      <c r="D20">
        <v>8</v>
      </c>
      <c r="E20">
        <v>1</v>
      </c>
      <c r="F20">
        <v>0</v>
      </c>
      <c r="G20">
        <v>15682</v>
      </c>
      <c r="H20">
        <v>8672</v>
      </c>
      <c r="I20">
        <v>1.1067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400B3-295A-4925-BD82-444DACACEE84}">
  <dimension ref="A1:I21"/>
  <sheetViews>
    <sheetView workbookViewId="0">
      <selection activeCell="I21" sqref="A18:I21"/>
    </sheetView>
  </sheetViews>
  <sheetFormatPr defaultRowHeight="15" x14ac:dyDescent="0.25"/>
  <cols>
    <col min="1" max="1" width="24.7109375" bestFit="1" customWidth="1"/>
    <col min="2" max="2" width="9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82</v>
      </c>
      <c r="B2" s="10">
        <v>1.11041831970214</v>
      </c>
      <c r="C2" t="s">
        <v>10</v>
      </c>
      <c r="D2">
        <v>1</v>
      </c>
      <c r="E2">
        <v>1</v>
      </c>
      <c r="F2">
        <v>0</v>
      </c>
      <c r="G2">
        <v>15682</v>
      </c>
      <c r="H2">
        <v>6744</v>
      </c>
      <c r="I2" s="7">
        <v>1.0764</v>
      </c>
    </row>
    <row r="3" spans="1:9" x14ac:dyDescent="0.25">
      <c r="A3" t="s">
        <v>83</v>
      </c>
      <c r="B3" s="10">
        <v>1.1338026523589999</v>
      </c>
      <c r="C3" t="s">
        <v>13</v>
      </c>
      <c r="D3">
        <v>8</v>
      </c>
      <c r="E3">
        <v>1</v>
      </c>
      <c r="F3">
        <v>0</v>
      </c>
      <c r="G3">
        <v>15682</v>
      </c>
      <c r="H3">
        <v>7844</v>
      </c>
      <c r="I3" s="7">
        <v>1.0965</v>
      </c>
    </row>
    <row r="4" spans="1:9" x14ac:dyDescent="0.25">
      <c r="A4" t="s">
        <v>84</v>
      </c>
      <c r="B4" s="10">
        <v>1.1433684825897199</v>
      </c>
      <c r="C4" t="s">
        <v>13</v>
      </c>
      <c r="D4">
        <v>8</v>
      </c>
      <c r="E4">
        <v>1</v>
      </c>
      <c r="F4">
        <v>0</v>
      </c>
      <c r="G4">
        <v>15682</v>
      </c>
      <c r="H4">
        <v>7815</v>
      </c>
      <c r="I4" s="7">
        <v>1.1221000000000001</v>
      </c>
    </row>
    <row r="5" spans="1:9" x14ac:dyDescent="0.25">
      <c r="A5" t="s">
        <v>85</v>
      </c>
      <c r="B5" s="10">
        <v>1.14112961292266</v>
      </c>
      <c r="C5" t="s">
        <v>13</v>
      </c>
      <c r="D5">
        <v>8</v>
      </c>
      <c r="E5">
        <v>1</v>
      </c>
      <c r="F5">
        <v>0</v>
      </c>
      <c r="G5">
        <v>15682</v>
      </c>
      <c r="H5">
        <v>7752</v>
      </c>
      <c r="I5" s="7">
        <v>1.1035999999999999</v>
      </c>
    </row>
    <row r="6" spans="1:9" x14ac:dyDescent="0.25">
      <c r="A6" t="s">
        <v>86</v>
      </c>
      <c r="B6" s="10">
        <v>1.12357354164123</v>
      </c>
      <c r="C6" t="s">
        <v>17</v>
      </c>
      <c r="D6">
        <v>2</v>
      </c>
      <c r="E6">
        <v>1</v>
      </c>
      <c r="F6">
        <v>0</v>
      </c>
      <c r="G6">
        <v>15682</v>
      </c>
      <c r="H6">
        <v>7449</v>
      </c>
      <c r="I6" s="7">
        <v>1.0900000000000001</v>
      </c>
    </row>
    <row r="7" spans="1:9" x14ac:dyDescent="0.25">
      <c r="A7" t="s">
        <v>87</v>
      </c>
      <c r="B7" s="10">
        <v>1.1333440542221001</v>
      </c>
      <c r="C7" t="s">
        <v>19</v>
      </c>
      <c r="D7">
        <v>4</v>
      </c>
      <c r="E7">
        <v>1</v>
      </c>
      <c r="F7">
        <v>0</v>
      </c>
      <c r="G7">
        <v>15682</v>
      </c>
      <c r="H7">
        <v>7552</v>
      </c>
      <c r="I7" s="7">
        <v>1.0988</v>
      </c>
    </row>
    <row r="8" spans="1:9" x14ac:dyDescent="0.25">
      <c r="A8" t="s">
        <v>88</v>
      </c>
      <c r="B8" s="10">
        <v>1.14112961292266</v>
      </c>
      <c r="C8" t="s">
        <v>13</v>
      </c>
      <c r="D8">
        <v>8</v>
      </c>
      <c r="E8">
        <v>1</v>
      </c>
      <c r="F8">
        <v>0</v>
      </c>
      <c r="G8">
        <v>15682</v>
      </c>
      <c r="H8">
        <v>7748</v>
      </c>
      <c r="I8" s="7">
        <v>1.1035999999999999</v>
      </c>
    </row>
    <row r="9" spans="1:9" x14ac:dyDescent="0.25">
      <c r="A9" t="s">
        <v>89</v>
      </c>
      <c r="B9" s="10">
        <v>1.1487896442413299</v>
      </c>
      <c r="C9" t="s">
        <v>23</v>
      </c>
      <c r="D9">
        <v>16</v>
      </c>
      <c r="E9">
        <v>1</v>
      </c>
      <c r="F9">
        <v>0</v>
      </c>
      <c r="G9">
        <v>15682</v>
      </c>
      <c r="H9">
        <v>8022</v>
      </c>
      <c r="I9" s="7">
        <v>1.1071</v>
      </c>
    </row>
    <row r="10" spans="1:9" x14ac:dyDescent="0.25">
      <c r="A10" t="s">
        <v>90</v>
      </c>
      <c r="B10" s="10">
        <v>1.14112961292266</v>
      </c>
      <c r="C10" t="s">
        <v>13</v>
      </c>
      <c r="D10">
        <v>8</v>
      </c>
      <c r="E10">
        <v>1</v>
      </c>
      <c r="F10">
        <v>0</v>
      </c>
      <c r="G10">
        <v>15682</v>
      </c>
      <c r="H10">
        <v>7756</v>
      </c>
      <c r="I10" s="7">
        <v>1.1035999999999999</v>
      </c>
    </row>
    <row r="11" spans="1:9" x14ac:dyDescent="0.25">
      <c r="A11" t="s">
        <v>91</v>
      </c>
      <c r="B11" s="10">
        <v>1.0792680978775</v>
      </c>
      <c r="C11" t="s">
        <v>13</v>
      </c>
      <c r="D11">
        <v>16</v>
      </c>
      <c r="E11">
        <v>2</v>
      </c>
      <c r="F11">
        <v>0</v>
      </c>
      <c r="G11">
        <v>15682</v>
      </c>
      <c r="H11">
        <v>8075</v>
      </c>
      <c r="I11" s="7">
        <v>1.0364</v>
      </c>
    </row>
    <row r="12" spans="1:9" x14ac:dyDescent="0.25">
      <c r="A12" t="s">
        <v>92</v>
      </c>
      <c r="B12" s="10">
        <v>1.0744439363479601</v>
      </c>
      <c r="C12" t="s">
        <v>13</v>
      </c>
      <c r="D12">
        <v>32</v>
      </c>
      <c r="E12">
        <v>4</v>
      </c>
      <c r="F12">
        <v>0</v>
      </c>
      <c r="G12">
        <v>15682</v>
      </c>
      <c r="H12">
        <v>8852</v>
      </c>
      <c r="I12" s="7">
        <v>1.03</v>
      </c>
    </row>
    <row r="13" spans="1:9" x14ac:dyDescent="0.25">
      <c r="A13" t="s">
        <v>93</v>
      </c>
      <c r="B13" s="10">
        <v>1.0708967447280799</v>
      </c>
      <c r="C13" t="s">
        <v>13</v>
      </c>
      <c r="D13">
        <v>64</v>
      </c>
      <c r="E13">
        <v>8</v>
      </c>
      <c r="F13">
        <v>0</v>
      </c>
      <c r="G13">
        <v>15682</v>
      </c>
      <c r="H13">
        <v>10997</v>
      </c>
      <c r="I13" s="7">
        <v>1.0269999999999999</v>
      </c>
    </row>
    <row r="14" spans="1:9" x14ac:dyDescent="0.25">
      <c r="A14" t="s">
        <v>94</v>
      </c>
      <c r="B14" s="10">
        <v>1.0727070569992001</v>
      </c>
      <c r="C14" t="s">
        <v>13</v>
      </c>
      <c r="D14">
        <v>32</v>
      </c>
      <c r="E14">
        <v>4</v>
      </c>
      <c r="F14">
        <v>0</v>
      </c>
      <c r="G14">
        <v>15682</v>
      </c>
      <c r="H14">
        <v>8877</v>
      </c>
      <c r="I14" s="7">
        <v>1.0286999999999999</v>
      </c>
    </row>
    <row r="15" spans="1:9" x14ac:dyDescent="0.25">
      <c r="A15" t="s">
        <v>95</v>
      </c>
      <c r="B15" s="10">
        <v>1.0768737792968699</v>
      </c>
      <c r="C15" t="s">
        <v>13</v>
      </c>
      <c r="D15">
        <v>31</v>
      </c>
      <c r="E15">
        <v>3</v>
      </c>
      <c r="F15">
        <v>1</v>
      </c>
      <c r="G15">
        <v>15682</v>
      </c>
      <c r="H15">
        <v>8753</v>
      </c>
      <c r="I15" s="7">
        <v>1.0348999999999999</v>
      </c>
    </row>
    <row r="16" spans="1:9" x14ac:dyDescent="0.25">
      <c r="A16" t="s">
        <v>96</v>
      </c>
      <c r="B16" s="10">
        <v>1.07408607006073</v>
      </c>
      <c r="C16" t="s">
        <v>13</v>
      </c>
      <c r="D16">
        <v>30</v>
      </c>
      <c r="E16">
        <v>2</v>
      </c>
      <c r="F16">
        <v>2</v>
      </c>
      <c r="G16">
        <v>15682</v>
      </c>
      <c r="H16">
        <v>8505</v>
      </c>
      <c r="I16" s="7">
        <v>1.032</v>
      </c>
    </row>
    <row r="17" spans="1:9" x14ac:dyDescent="0.25">
      <c r="A17" t="s">
        <v>97</v>
      </c>
      <c r="B17" s="10">
        <v>1.1095719337463299</v>
      </c>
      <c r="C17" t="s">
        <v>13</v>
      </c>
      <c r="D17">
        <v>29</v>
      </c>
      <c r="E17">
        <v>1</v>
      </c>
      <c r="F17">
        <v>3</v>
      </c>
      <c r="G17">
        <v>15682</v>
      </c>
      <c r="H17">
        <v>8254</v>
      </c>
      <c r="I17" s="7">
        <v>1.0723</v>
      </c>
    </row>
    <row r="18" spans="1:9" x14ac:dyDescent="0.25">
      <c r="A18" t="s">
        <v>98</v>
      </c>
      <c r="B18" s="10">
        <v>1.13844954967498</v>
      </c>
      <c r="C18" t="s">
        <v>13</v>
      </c>
      <c r="D18">
        <v>8</v>
      </c>
      <c r="E18">
        <v>1</v>
      </c>
      <c r="F18">
        <v>0</v>
      </c>
      <c r="G18">
        <v>15682</v>
      </c>
      <c r="H18">
        <v>8051</v>
      </c>
      <c r="I18" s="7">
        <v>1.1045</v>
      </c>
    </row>
    <row r="19" spans="1:9" x14ac:dyDescent="0.25">
      <c r="A19" t="s">
        <v>99</v>
      </c>
      <c r="B19" s="10">
        <v>1.13623511791229</v>
      </c>
      <c r="C19" t="s">
        <v>13</v>
      </c>
      <c r="D19">
        <v>8</v>
      </c>
      <c r="E19">
        <v>1</v>
      </c>
      <c r="F19">
        <v>0</v>
      </c>
      <c r="G19">
        <v>15682</v>
      </c>
      <c r="H19">
        <v>8040</v>
      </c>
      <c r="I19" s="7">
        <v>1.0996999999999999</v>
      </c>
    </row>
    <row r="20" spans="1:9" x14ac:dyDescent="0.25">
      <c r="A20" t="s">
        <v>100</v>
      </c>
      <c r="B20" s="10">
        <v>1.1337159872055</v>
      </c>
      <c r="C20" t="s">
        <v>13</v>
      </c>
      <c r="D20">
        <v>8</v>
      </c>
      <c r="E20">
        <v>1</v>
      </c>
      <c r="F20">
        <v>0</v>
      </c>
      <c r="G20">
        <v>15682</v>
      </c>
      <c r="H20">
        <v>8051</v>
      </c>
      <c r="I20" s="7">
        <v>1.0968</v>
      </c>
    </row>
    <row r="21" spans="1:9" x14ac:dyDescent="0.25">
      <c r="A21" t="s">
        <v>101</v>
      </c>
      <c r="B21" s="10">
        <v>1.1349464654922401</v>
      </c>
      <c r="C21" t="s">
        <v>13</v>
      </c>
      <c r="D21">
        <v>8</v>
      </c>
      <c r="E21">
        <v>1</v>
      </c>
      <c r="F21">
        <v>0</v>
      </c>
      <c r="G21">
        <v>15682</v>
      </c>
      <c r="H21">
        <v>8026</v>
      </c>
      <c r="I21" s="7">
        <v>1.0989</v>
      </c>
    </row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4D8-5BB4-4336-948D-9E09B47D5B0F}">
  <dimension ref="A1:N61"/>
  <sheetViews>
    <sheetView workbookViewId="0">
      <selection activeCell="N5" sqref="N5"/>
    </sheetView>
  </sheetViews>
  <sheetFormatPr defaultRowHeight="15" x14ac:dyDescent="0.25"/>
  <cols>
    <col min="1" max="1" width="25.5703125" bestFit="1" customWidth="1"/>
    <col min="2" max="2" width="9.28515625" customWidth="1"/>
    <col min="3" max="3" width="14.5703125" customWidth="1"/>
    <col min="4" max="5" width="16" customWidth="1"/>
    <col min="6" max="6" width="20.42578125" customWidth="1"/>
    <col min="11" max="11" width="19.85546875" bestFit="1" customWidth="1"/>
    <col min="12" max="12" width="16.85546875" bestFit="1" customWidth="1"/>
    <col min="13" max="14" width="8.140625" bestFit="1" customWidth="1"/>
    <col min="15" max="15" width="16" bestFit="1" customWidth="1"/>
    <col min="16" max="18" width="5" bestFit="1" customWidth="1"/>
    <col min="19" max="32" width="6" bestFit="1" customWidth="1"/>
    <col min="33" max="33" width="6.85546875" bestFit="1" customWidth="1"/>
    <col min="34" max="47" width="5" bestFit="1" customWidth="1"/>
    <col min="48" max="51" width="6" bestFit="1" customWidth="1"/>
    <col min="52" max="52" width="7" bestFit="1" customWidth="1"/>
    <col min="53" max="53" width="11.28515625" bestFit="1" customWidth="1"/>
  </cols>
  <sheetData>
    <row r="1" spans="1:14" x14ac:dyDescent="0.25">
      <c r="A1" s="1" t="s">
        <v>0</v>
      </c>
      <c r="B1" s="1" t="s">
        <v>77</v>
      </c>
      <c r="C1" s="11" t="s">
        <v>1</v>
      </c>
      <c r="D1" s="2" t="s">
        <v>7</v>
      </c>
      <c r="E1" s="2" t="s">
        <v>8</v>
      </c>
      <c r="F1" s="11" t="s">
        <v>76</v>
      </c>
    </row>
    <row r="2" spans="1:14" x14ac:dyDescent="0.25">
      <c r="A2" s="1" t="s">
        <v>55</v>
      </c>
      <c r="B2" s="1" t="s">
        <v>102</v>
      </c>
      <c r="C2" s="3">
        <v>1.11134445667266</v>
      </c>
      <c r="D2" s="1">
        <v>6807</v>
      </c>
      <c r="E2" s="3">
        <v>1.0844</v>
      </c>
      <c r="F2" s="8">
        <f t="shared" ref="F2:F42" si="0">D2/3600</f>
        <v>1.8908333333333334</v>
      </c>
      <c r="K2" s="4" t="s">
        <v>81</v>
      </c>
      <c r="L2" s="4" t="s">
        <v>80</v>
      </c>
    </row>
    <row r="3" spans="1:14" x14ac:dyDescent="0.25">
      <c r="A3" s="1" t="s">
        <v>56</v>
      </c>
      <c r="B3" s="1" t="s">
        <v>102</v>
      </c>
      <c r="C3" s="3">
        <v>1.11118912696838</v>
      </c>
      <c r="D3" s="1">
        <v>6791</v>
      </c>
      <c r="E3" s="3">
        <v>1.0832999999999999</v>
      </c>
      <c r="F3" s="8">
        <f t="shared" si="0"/>
        <v>1.8863888888888889</v>
      </c>
      <c r="K3" s="4" t="s">
        <v>78</v>
      </c>
      <c r="L3" t="s">
        <v>102</v>
      </c>
      <c r="M3" t="s">
        <v>103</v>
      </c>
      <c r="N3" t="s">
        <v>104</v>
      </c>
    </row>
    <row r="4" spans="1:14" x14ac:dyDescent="0.25">
      <c r="A4" s="1" t="s">
        <v>57</v>
      </c>
      <c r="B4" s="1" t="s">
        <v>102</v>
      </c>
      <c r="C4" s="3">
        <v>1.12694776058197</v>
      </c>
      <c r="D4" s="1">
        <v>10306</v>
      </c>
      <c r="E4" s="3">
        <v>1.0932999999999999</v>
      </c>
      <c r="F4" s="8">
        <f t="shared" si="0"/>
        <v>2.8627777777777776</v>
      </c>
      <c r="K4" s="5" t="s">
        <v>55</v>
      </c>
      <c r="L4" s="9">
        <v>1.8908333333333334</v>
      </c>
      <c r="M4" s="9"/>
      <c r="N4" s="9"/>
    </row>
    <row r="5" spans="1:14" x14ac:dyDescent="0.25">
      <c r="A5" s="1" t="s">
        <v>58</v>
      </c>
      <c r="B5" s="1" t="s">
        <v>102</v>
      </c>
      <c r="C5" s="3">
        <v>1.1370919942855799</v>
      </c>
      <c r="D5" s="1">
        <v>10297</v>
      </c>
      <c r="E5" s="3">
        <v>1.1208</v>
      </c>
      <c r="F5" s="8">
        <f t="shared" si="0"/>
        <v>2.8602777777777777</v>
      </c>
      <c r="K5" s="5" t="s">
        <v>56</v>
      </c>
      <c r="L5" s="9">
        <v>1.8863888888888889</v>
      </c>
      <c r="M5" s="9"/>
      <c r="N5" s="9">
        <v>1.8733333333333333</v>
      </c>
    </row>
    <row r="6" spans="1:14" x14ac:dyDescent="0.25">
      <c r="A6" s="1" t="s">
        <v>59</v>
      </c>
      <c r="B6" s="1" t="s">
        <v>102</v>
      </c>
      <c r="C6" s="3">
        <v>1.1295984983444201</v>
      </c>
      <c r="D6" s="1">
        <v>10035</v>
      </c>
      <c r="E6" s="3">
        <v>1.0992999999999999</v>
      </c>
      <c r="F6" s="8">
        <f t="shared" si="0"/>
        <v>2.7875000000000001</v>
      </c>
      <c r="K6" s="5" t="s">
        <v>57</v>
      </c>
      <c r="L6" s="9">
        <v>2.8627777777777776</v>
      </c>
      <c r="M6" s="9">
        <v>2.3755555555555556</v>
      </c>
      <c r="N6" s="9">
        <v>2.1788888888888889</v>
      </c>
    </row>
    <row r="7" spans="1:14" x14ac:dyDescent="0.25">
      <c r="A7" s="1" t="s">
        <v>60</v>
      </c>
      <c r="B7" s="1" t="s">
        <v>102</v>
      </c>
      <c r="C7" s="3">
        <v>1.11804747581481</v>
      </c>
      <c r="D7" s="1">
        <v>8395</v>
      </c>
      <c r="E7" s="3">
        <v>1.0900000000000001</v>
      </c>
      <c r="F7" s="8">
        <f t="shared" si="0"/>
        <v>2.3319444444444444</v>
      </c>
      <c r="K7" s="5" t="s">
        <v>58</v>
      </c>
      <c r="L7" s="9">
        <v>2.8602777777777777</v>
      </c>
      <c r="M7" s="9">
        <v>2.3827777777777777</v>
      </c>
      <c r="N7" s="9">
        <v>2.1708333333333334</v>
      </c>
    </row>
    <row r="8" spans="1:14" x14ac:dyDescent="0.25">
      <c r="A8" s="1" t="s">
        <v>61</v>
      </c>
      <c r="B8" s="1" t="s">
        <v>102</v>
      </c>
      <c r="C8" s="3">
        <v>1.1246691942214899</v>
      </c>
      <c r="D8" s="1">
        <v>8867</v>
      </c>
      <c r="E8" s="3">
        <v>1.0959000000000001</v>
      </c>
      <c r="F8" s="8">
        <f t="shared" si="0"/>
        <v>2.4630555555555556</v>
      </c>
      <c r="K8" s="5" t="s">
        <v>59</v>
      </c>
      <c r="L8" s="9">
        <v>2.7875000000000001</v>
      </c>
      <c r="M8" s="9">
        <v>2.3936111111111109</v>
      </c>
      <c r="N8" s="9">
        <v>2.1533333333333333</v>
      </c>
    </row>
    <row r="9" spans="1:14" x14ac:dyDescent="0.25">
      <c r="A9" s="1" t="s">
        <v>62</v>
      </c>
      <c r="B9" s="1" t="s">
        <v>102</v>
      </c>
      <c r="C9" s="3">
        <v>1.1295984983444201</v>
      </c>
      <c r="D9" s="1">
        <v>10085</v>
      </c>
      <c r="E9" s="3">
        <v>1.0992999999999999</v>
      </c>
      <c r="F9" s="8">
        <f t="shared" si="0"/>
        <v>2.8013888888888889</v>
      </c>
      <c r="K9" s="5" t="s">
        <v>60</v>
      </c>
      <c r="L9" s="9">
        <v>2.3319444444444444</v>
      </c>
      <c r="M9" s="9">
        <v>2.2419444444444445</v>
      </c>
      <c r="N9" s="9">
        <v>2.0691666666666668</v>
      </c>
    </row>
    <row r="10" spans="1:14" x14ac:dyDescent="0.25">
      <c r="A10" s="1" t="s">
        <v>63</v>
      </c>
      <c r="B10" s="1" t="s">
        <v>102</v>
      </c>
      <c r="C10" s="3">
        <v>1.1377271413803101</v>
      </c>
      <c r="D10" s="1">
        <v>12924</v>
      </c>
      <c r="E10" s="3">
        <v>1.1015999999999999</v>
      </c>
      <c r="F10" s="8">
        <f t="shared" si="0"/>
        <v>3.59</v>
      </c>
      <c r="K10" s="5" t="s">
        <v>61</v>
      </c>
      <c r="L10" s="9">
        <v>2.4630555555555556</v>
      </c>
      <c r="M10" s="9">
        <v>2.2941666666666665</v>
      </c>
      <c r="N10" s="9">
        <v>2.097777777777778</v>
      </c>
    </row>
    <row r="11" spans="1:14" x14ac:dyDescent="0.25">
      <c r="A11" s="1" t="s">
        <v>64</v>
      </c>
      <c r="B11" s="1" t="s">
        <v>102</v>
      </c>
      <c r="C11" s="3">
        <v>1.1295984983444201</v>
      </c>
      <c r="D11" s="1">
        <v>10047</v>
      </c>
      <c r="E11" s="3">
        <v>1.0992999999999999</v>
      </c>
      <c r="F11" s="8">
        <f t="shared" si="0"/>
        <v>2.7908333333333335</v>
      </c>
      <c r="K11" s="5" t="s">
        <v>62</v>
      </c>
      <c r="L11" s="9">
        <v>2.8013888888888889</v>
      </c>
      <c r="M11" s="9">
        <v>2.3836111111111111</v>
      </c>
      <c r="N11" s="9">
        <v>2.152222222222222</v>
      </c>
    </row>
    <row r="12" spans="1:14" x14ac:dyDescent="0.25">
      <c r="A12" s="1" t="s">
        <v>65</v>
      </c>
      <c r="B12" s="1" t="s">
        <v>102</v>
      </c>
      <c r="C12" s="3">
        <v>1.0658214092254601</v>
      </c>
      <c r="D12" s="1">
        <v>12256</v>
      </c>
      <c r="E12" s="3">
        <v>1.0236000000000001</v>
      </c>
      <c r="F12" s="8">
        <f t="shared" si="0"/>
        <v>3.4044444444444446</v>
      </c>
      <c r="K12" s="5" t="s">
        <v>63</v>
      </c>
      <c r="L12" s="9">
        <v>3.59</v>
      </c>
      <c r="M12" s="9">
        <v>2.5613888888888887</v>
      </c>
      <c r="N12" s="9">
        <v>2.2283333333333335</v>
      </c>
    </row>
    <row r="13" spans="1:14" x14ac:dyDescent="0.25">
      <c r="A13" s="1" t="s">
        <v>66</v>
      </c>
      <c r="B13" s="1" t="s">
        <v>102</v>
      </c>
      <c r="C13" s="3">
        <v>1.0581374168395901</v>
      </c>
      <c r="D13" s="1">
        <v>17931</v>
      </c>
      <c r="E13" s="3">
        <v>1.0144</v>
      </c>
      <c r="F13" s="8">
        <f t="shared" si="0"/>
        <v>4.980833333333333</v>
      </c>
      <c r="K13" s="5" t="s">
        <v>64</v>
      </c>
      <c r="L13" s="9">
        <v>2.7908333333333335</v>
      </c>
      <c r="M13" s="9">
        <v>2.3936111111111109</v>
      </c>
      <c r="N13" s="9">
        <v>2.1544444444444446</v>
      </c>
    </row>
    <row r="14" spans="1:14" x14ac:dyDescent="0.25">
      <c r="A14" s="1" t="s">
        <v>67</v>
      </c>
      <c r="B14" s="1" t="s">
        <v>102</v>
      </c>
      <c r="C14" s="3">
        <v>1.05835402011871</v>
      </c>
      <c r="D14" s="1">
        <v>27565</v>
      </c>
      <c r="E14" s="3">
        <v>1.0149999999999999</v>
      </c>
      <c r="F14" s="8">
        <f t="shared" si="0"/>
        <v>7.6569444444444441</v>
      </c>
      <c r="K14" s="5" t="s">
        <v>65</v>
      </c>
      <c r="L14" s="9">
        <v>3.4044444444444446</v>
      </c>
      <c r="M14" s="9">
        <v>2.5841666666666665</v>
      </c>
      <c r="N14" s="9">
        <v>2.2430555555555554</v>
      </c>
    </row>
    <row r="15" spans="1:14" x14ac:dyDescent="0.25">
      <c r="A15" s="1" t="s">
        <v>68</v>
      </c>
      <c r="B15" s="1" t="s">
        <v>102</v>
      </c>
      <c r="C15" s="3">
        <v>1.0581374168395901</v>
      </c>
      <c r="D15" s="1">
        <v>17921</v>
      </c>
      <c r="E15" s="3">
        <v>1.0144</v>
      </c>
      <c r="F15" s="8">
        <f t="shared" si="0"/>
        <v>4.9780555555555557</v>
      </c>
      <c r="K15" s="5" t="s">
        <v>66</v>
      </c>
      <c r="L15" s="9">
        <v>4.980833333333333</v>
      </c>
      <c r="M15" s="9">
        <v>2.9977777777777779</v>
      </c>
      <c r="N15" s="9">
        <v>2.4588888888888887</v>
      </c>
    </row>
    <row r="16" spans="1:14" x14ac:dyDescent="0.25">
      <c r="A16" s="1" t="s">
        <v>69</v>
      </c>
      <c r="B16" s="1" t="s">
        <v>102</v>
      </c>
      <c r="C16" s="3">
        <v>1.0572606325149501</v>
      </c>
      <c r="D16" s="1">
        <v>17234</v>
      </c>
      <c r="E16" s="3">
        <v>1.0141</v>
      </c>
      <c r="F16" s="8">
        <f t="shared" si="0"/>
        <v>4.7872222222222218</v>
      </c>
      <c r="K16" s="5" t="s">
        <v>67</v>
      </c>
      <c r="L16" s="9">
        <v>7.6569444444444441</v>
      </c>
      <c r="M16" s="9">
        <v>4.1663888888888891</v>
      </c>
      <c r="N16" s="9">
        <v>3.0547222222222223</v>
      </c>
    </row>
    <row r="17" spans="1:14" x14ac:dyDescent="0.25">
      <c r="A17" s="1" t="s">
        <v>70</v>
      </c>
      <c r="B17" s="1" t="s">
        <v>102</v>
      </c>
      <c r="C17" s="3">
        <v>1.05996394157409</v>
      </c>
      <c r="D17" s="1">
        <v>16477</v>
      </c>
      <c r="E17" s="3">
        <v>1.0181</v>
      </c>
      <c r="F17" s="8">
        <f t="shared" si="0"/>
        <v>4.576944444444444</v>
      </c>
      <c r="K17" s="5" t="s">
        <v>68</v>
      </c>
      <c r="L17" s="9">
        <v>4.9780555555555557</v>
      </c>
      <c r="M17" s="9">
        <v>2.9947222222222223</v>
      </c>
      <c r="N17" s="9">
        <v>2.4658333333333333</v>
      </c>
    </row>
    <row r="18" spans="1:14" x14ac:dyDescent="0.25">
      <c r="A18" s="1" t="s">
        <v>71</v>
      </c>
      <c r="B18" s="1" t="s">
        <v>102</v>
      </c>
      <c r="C18" s="3">
        <v>1.1013923883438099</v>
      </c>
      <c r="D18" s="1">
        <v>15682</v>
      </c>
      <c r="E18" s="3">
        <v>1.0670999999999999</v>
      </c>
      <c r="F18" s="8">
        <f t="shared" si="0"/>
        <v>4.3561111111111108</v>
      </c>
      <c r="K18" s="5" t="s">
        <v>69</v>
      </c>
      <c r="L18" s="9">
        <v>4.7872222222222218</v>
      </c>
      <c r="M18" s="9">
        <v>2.9005555555555556</v>
      </c>
      <c r="N18" s="9">
        <v>2.4313888888888888</v>
      </c>
    </row>
    <row r="19" spans="1:14" x14ac:dyDescent="0.25">
      <c r="A19" s="1" t="s">
        <v>72</v>
      </c>
      <c r="B19" s="1" t="s">
        <v>102</v>
      </c>
      <c r="C19" s="3">
        <v>1.1316434144973699</v>
      </c>
      <c r="D19" s="1">
        <v>10001</v>
      </c>
      <c r="E19" s="3">
        <v>1.1021000000000001</v>
      </c>
      <c r="F19" s="8">
        <f t="shared" si="0"/>
        <v>2.7780555555555555</v>
      </c>
      <c r="K19" s="5" t="s">
        <v>70</v>
      </c>
      <c r="L19" s="9">
        <v>4.576944444444444</v>
      </c>
      <c r="M19" s="9">
        <v>2.7644444444444445</v>
      </c>
      <c r="N19" s="9">
        <v>2.3624999999999998</v>
      </c>
    </row>
    <row r="20" spans="1:14" x14ac:dyDescent="0.25">
      <c r="A20" s="1" t="s">
        <v>73</v>
      </c>
      <c r="B20" s="1" t="s">
        <v>102</v>
      </c>
      <c r="C20" s="3">
        <v>1.1320948600769001</v>
      </c>
      <c r="D20" s="1">
        <v>9958</v>
      </c>
      <c r="E20" s="3">
        <v>1.1024</v>
      </c>
      <c r="F20" s="8">
        <f t="shared" si="0"/>
        <v>2.766111111111111</v>
      </c>
      <c r="K20" s="5" t="s">
        <v>71</v>
      </c>
      <c r="L20" s="9">
        <v>4.3561111111111108</v>
      </c>
      <c r="M20" s="9">
        <v>2.6458333333333335</v>
      </c>
      <c r="N20" s="9">
        <v>2.2927777777777778</v>
      </c>
    </row>
    <row r="21" spans="1:14" x14ac:dyDescent="0.25">
      <c r="A21" s="1" t="s">
        <v>74</v>
      </c>
      <c r="B21" s="1" t="s">
        <v>102</v>
      </c>
      <c r="C21" s="3">
        <v>1.1334214210510201</v>
      </c>
      <c r="D21" s="1">
        <v>9864</v>
      </c>
      <c r="E21" s="3">
        <v>1.1033999999999999</v>
      </c>
      <c r="F21" s="8">
        <f t="shared" si="0"/>
        <v>2.74</v>
      </c>
      <c r="K21" s="5" t="s">
        <v>72</v>
      </c>
      <c r="L21" s="9">
        <v>2.7780555555555555</v>
      </c>
      <c r="M21" s="9">
        <v>2.4608333333333334</v>
      </c>
      <c r="N21" s="9">
        <v>2.236388888888889</v>
      </c>
    </row>
    <row r="22" spans="1:14" x14ac:dyDescent="0.25">
      <c r="A22" s="1" t="s">
        <v>75</v>
      </c>
      <c r="B22" s="1" t="s">
        <v>102</v>
      </c>
      <c r="C22" s="3">
        <v>1.1313065290451001</v>
      </c>
      <c r="D22" s="1">
        <v>9906</v>
      </c>
      <c r="E22" s="3">
        <v>1.0993999999999999</v>
      </c>
      <c r="F22" s="8">
        <f t="shared" si="0"/>
        <v>2.7516666666666665</v>
      </c>
      <c r="K22" s="5" t="s">
        <v>73</v>
      </c>
      <c r="L22" s="9">
        <v>2.766111111111111</v>
      </c>
      <c r="M22" s="9">
        <v>2.4227777777777777</v>
      </c>
      <c r="N22" s="9">
        <v>2.2333333333333334</v>
      </c>
    </row>
    <row r="23" spans="1:14" x14ac:dyDescent="0.25">
      <c r="A23" s="1" t="s">
        <v>57</v>
      </c>
      <c r="B23" s="1" t="s">
        <v>103</v>
      </c>
      <c r="C23" s="3">
        <v>1.1323504447937001</v>
      </c>
      <c r="D23" s="1">
        <v>8552</v>
      </c>
      <c r="E23" s="3">
        <v>1.1006</v>
      </c>
      <c r="F23" s="8">
        <f t="shared" si="0"/>
        <v>2.3755555555555556</v>
      </c>
      <c r="K23" s="5" t="s">
        <v>74</v>
      </c>
      <c r="L23" s="9">
        <v>2.74</v>
      </c>
      <c r="M23" s="9">
        <v>2.4061111111111111</v>
      </c>
      <c r="N23" s="9">
        <v>2.236388888888889</v>
      </c>
    </row>
    <row r="24" spans="1:14" x14ac:dyDescent="0.25">
      <c r="A24" s="1" t="s">
        <v>58</v>
      </c>
      <c r="B24" s="1" t="s">
        <v>103</v>
      </c>
      <c r="C24" s="3">
        <v>1.14303863048553</v>
      </c>
      <c r="D24" s="1">
        <v>8578</v>
      </c>
      <c r="E24" s="3">
        <v>1.129</v>
      </c>
      <c r="F24" s="8">
        <f t="shared" si="0"/>
        <v>2.3827777777777777</v>
      </c>
      <c r="K24" s="5" t="s">
        <v>75</v>
      </c>
      <c r="L24" s="9">
        <v>2.7516666666666665</v>
      </c>
      <c r="M24" s="9">
        <v>2.4088888888888889</v>
      </c>
      <c r="N24" s="9">
        <v>2.2294444444444443</v>
      </c>
    </row>
    <row r="25" spans="1:14" x14ac:dyDescent="0.25">
      <c r="A25" s="1" t="s">
        <v>59</v>
      </c>
      <c r="B25" s="1" t="s">
        <v>103</v>
      </c>
      <c r="C25" s="3">
        <v>1.1407160758972099</v>
      </c>
      <c r="D25" s="1">
        <v>8617</v>
      </c>
      <c r="E25" s="3">
        <v>1.1076999999999999</v>
      </c>
      <c r="F25" s="8">
        <f t="shared" si="0"/>
        <v>2.3936111111111109</v>
      </c>
      <c r="K25" s="5" t="s">
        <v>79</v>
      </c>
      <c r="L25" s="6">
        <v>72.041388888888875</v>
      </c>
      <c r="M25" s="6">
        <v>49.779166666666661</v>
      </c>
      <c r="N25" s="6">
        <v>45.323055555555563</v>
      </c>
    </row>
    <row r="26" spans="1:14" x14ac:dyDescent="0.25">
      <c r="A26" s="1" t="s">
        <v>60</v>
      </c>
      <c r="B26" s="1" t="s">
        <v>103</v>
      </c>
      <c r="C26" s="3">
        <v>1.12241566181182</v>
      </c>
      <c r="D26" s="1">
        <v>8071</v>
      </c>
      <c r="E26" s="3">
        <v>1.0947</v>
      </c>
      <c r="F26" s="8">
        <f t="shared" si="0"/>
        <v>2.2419444444444445</v>
      </c>
    </row>
    <row r="27" spans="1:14" x14ac:dyDescent="0.25">
      <c r="A27" s="1" t="s">
        <v>61</v>
      </c>
      <c r="B27" s="1" t="s">
        <v>103</v>
      </c>
      <c r="C27" s="3">
        <v>1.13310766220092</v>
      </c>
      <c r="D27" s="1">
        <v>8259</v>
      </c>
      <c r="E27" s="3">
        <v>1.1032</v>
      </c>
      <c r="F27" s="8">
        <f t="shared" si="0"/>
        <v>2.2941666666666665</v>
      </c>
    </row>
    <row r="28" spans="1:14" x14ac:dyDescent="0.25">
      <c r="A28" s="1" t="s">
        <v>62</v>
      </c>
      <c r="B28" s="1" t="s">
        <v>103</v>
      </c>
      <c r="C28" s="3">
        <v>1.1407160758972099</v>
      </c>
      <c r="D28" s="1">
        <v>8581</v>
      </c>
      <c r="E28" s="3">
        <v>1.1076999999999999</v>
      </c>
      <c r="F28" s="8">
        <f t="shared" si="0"/>
        <v>2.3836111111111111</v>
      </c>
    </row>
    <row r="29" spans="1:14" x14ac:dyDescent="0.25">
      <c r="A29" s="1" t="s">
        <v>63</v>
      </c>
      <c r="B29" s="1" t="s">
        <v>103</v>
      </c>
      <c r="C29" s="3">
        <v>1.1485748291015601</v>
      </c>
      <c r="D29" s="1">
        <v>9221</v>
      </c>
      <c r="E29" s="3">
        <v>1.1133999999999999</v>
      </c>
      <c r="F29" s="8">
        <f t="shared" si="0"/>
        <v>2.5613888888888887</v>
      </c>
    </row>
    <row r="30" spans="1:14" x14ac:dyDescent="0.25">
      <c r="A30" s="1" t="s">
        <v>64</v>
      </c>
      <c r="B30" s="1" t="s">
        <v>103</v>
      </c>
      <c r="C30" s="3">
        <v>1.1407160758972099</v>
      </c>
      <c r="D30" s="1">
        <v>8617</v>
      </c>
      <c r="E30" s="3">
        <v>1.1076999999999999</v>
      </c>
      <c r="F30" s="8">
        <f t="shared" si="0"/>
        <v>2.3936111111111109</v>
      </c>
    </row>
    <row r="31" spans="1:14" x14ac:dyDescent="0.25">
      <c r="A31" s="1" t="s">
        <v>65</v>
      </c>
      <c r="B31" s="1" t="s">
        <v>103</v>
      </c>
      <c r="C31" s="3">
        <v>1.0782896280288601</v>
      </c>
      <c r="D31" s="1">
        <v>9303</v>
      </c>
      <c r="E31" s="3">
        <v>1.0401</v>
      </c>
      <c r="F31" s="8">
        <f t="shared" si="0"/>
        <v>2.5841666666666665</v>
      </c>
    </row>
    <row r="32" spans="1:14" x14ac:dyDescent="0.25">
      <c r="A32" s="1" t="s">
        <v>66</v>
      </c>
      <c r="B32" s="1" t="s">
        <v>103</v>
      </c>
      <c r="C32" s="3">
        <v>1.07253313064575</v>
      </c>
      <c r="D32" s="1">
        <v>10792</v>
      </c>
      <c r="E32" s="3">
        <v>1.034</v>
      </c>
      <c r="F32" s="8">
        <f t="shared" si="0"/>
        <v>2.9977777777777779</v>
      </c>
    </row>
    <row r="33" spans="1:6" x14ac:dyDescent="0.25">
      <c r="A33" s="1" t="s">
        <v>67</v>
      </c>
      <c r="B33" s="1" t="s">
        <v>103</v>
      </c>
      <c r="C33" s="3">
        <v>1.0703152418136499</v>
      </c>
      <c r="D33" s="1">
        <v>14999</v>
      </c>
      <c r="E33" s="3">
        <v>1.0306</v>
      </c>
      <c r="F33" s="8">
        <f t="shared" si="0"/>
        <v>4.1663888888888891</v>
      </c>
    </row>
    <row r="34" spans="1:6" x14ac:dyDescent="0.25">
      <c r="A34" s="1" t="s">
        <v>68</v>
      </c>
      <c r="B34" s="1" t="s">
        <v>103</v>
      </c>
      <c r="C34" s="3">
        <v>1.07376980781555</v>
      </c>
      <c r="D34" s="1">
        <v>10781</v>
      </c>
      <c r="E34" s="3">
        <v>1.0342</v>
      </c>
      <c r="F34" s="8">
        <f t="shared" si="0"/>
        <v>2.9947222222222223</v>
      </c>
    </row>
    <row r="35" spans="1:6" x14ac:dyDescent="0.25">
      <c r="A35" s="1" t="s">
        <v>69</v>
      </c>
      <c r="B35" s="1" t="s">
        <v>103</v>
      </c>
      <c r="C35" s="3">
        <v>1.0754539966583201</v>
      </c>
      <c r="D35" s="1">
        <v>10442</v>
      </c>
      <c r="E35" s="3">
        <v>1.0373000000000001</v>
      </c>
      <c r="F35" s="8">
        <f t="shared" si="0"/>
        <v>2.9005555555555556</v>
      </c>
    </row>
    <row r="36" spans="1:6" x14ac:dyDescent="0.25">
      <c r="A36" s="1" t="s">
        <v>70</v>
      </c>
      <c r="B36" s="1" t="s">
        <v>103</v>
      </c>
      <c r="C36" s="3">
        <v>1.0731346607208201</v>
      </c>
      <c r="D36" s="1">
        <v>9952</v>
      </c>
      <c r="E36" s="3">
        <v>1.0363</v>
      </c>
      <c r="F36" s="8">
        <f t="shared" si="0"/>
        <v>2.7644444444444445</v>
      </c>
    </row>
    <row r="37" spans="1:6" x14ac:dyDescent="0.25">
      <c r="A37" s="1" t="s">
        <v>71</v>
      </c>
      <c r="B37" s="1" t="s">
        <v>103</v>
      </c>
      <c r="C37" s="3">
        <v>1.10969054698944</v>
      </c>
      <c r="D37" s="1">
        <v>9525</v>
      </c>
      <c r="E37" s="3">
        <v>1.0783</v>
      </c>
      <c r="F37" s="8">
        <f t="shared" si="0"/>
        <v>2.6458333333333335</v>
      </c>
    </row>
    <row r="38" spans="1:6" x14ac:dyDescent="0.25">
      <c r="A38" s="1" t="s">
        <v>72</v>
      </c>
      <c r="B38" s="1" t="s">
        <v>103</v>
      </c>
      <c r="C38" s="3">
        <v>1.13574850559234</v>
      </c>
      <c r="D38" s="1">
        <v>8859</v>
      </c>
      <c r="E38" s="3">
        <v>1.1079000000000001</v>
      </c>
      <c r="F38" s="8">
        <f t="shared" si="0"/>
        <v>2.4608333333333334</v>
      </c>
    </row>
    <row r="39" spans="1:6" x14ac:dyDescent="0.25">
      <c r="A39" s="1" t="s">
        <v>73</v>
      </c>
      <c r="B39" s="1" t="s">
        <v>103</v>
      </c>
      <c r="C39" s="3">
        <v>1.1354947090148899</v>
      </c>
      <c r="D39" s="1">
        <v>8722</v>
      </c>
      <c r="E39" s="3">
        <v>1.1060000000000001</v>
      </c>
      <c r="F39" s="8">
        <f t="shared" si="0"/>
        <v>2.4227777777777777</v>
      </c>
    </row>
    <row r="40" spans="1:6" x14ac:dyDescent="0.25">
      <c r="A40" s="1" t="s">
        <v>74</v>
      </c>
      <c r="B40" s="1" t="s">
        <v>103</v>
      </c>
      <c r="C40" s="3">
        <v>1.1346573829650799</v>
      </c>
      <c r="D40" s="1">
        <v>8662</v>
      </c>
      <c r="E40" s="3">
        <v>1.1052</v>
      </c>
      <c r="F40" s="8">
        <f t="shared" si="0"/>
        <v>2.4061111111111111</v>
      </c>
    </row>
    <row r="41" spans="1:6" x14ac:dyDescent="0.25">
      <c r="A41" s="1" t="s">
        <v>75</v>
      </c>
      <c r="B41" s="1" t="s">
        <v>103</v>
      </c>
      <c r="C41" s="3">
        <v>1.13679718971252</v>
      </c>
      <c r="D41" s="1">
        <v>8672</v>
      </c>
      <c r="E41" s="3">
        <v>1.1067</v>
      </c>
      <c r="F41" s="8">
        <f t="shared" si="0"/>
        <v>2.4088888888888889</v>
      </c>
    </row>
    <row r="42" spans="1:6" x14ac:dyDescent="0.25">
      <c r="A42" s="1" t="s">
        <v>56</v>
      </c>
      <c r="B42" s="1" t="s">
        <v>104</v>
      </c>
      <c r="C42" s="7">
        <v>1.11041831970214</v>
      </c>
      <c r="D42">
        <v>6744</v>
      </c>
      <c r="E42" s="7">
        <v>1.0764</v>
      </c>
      <c r="F42" s="8">
        <f t="shared" si="0"/>
        <v>1.8733333333333333</v>
      </c>
    </row>
    <row r="43" spans="1:6" x14ac:dyDescent="0.25">
      <c r="A43" s="1" t="s">
        <v>57</v>
      </c>
      <c r="B43" s="1" t="s">
        <v>104</v>
      </c>
      <c r="C43" s="3">
        <v>1.1338026523589999</v>
      </c>
      <c r="D43" s="1">
        <v>7844</v>
      </c>
      <c r="E43" s="3">
        <v>1.0965</v>
      </c>
      <c r="F43" s="8">
        <f t="shared" ref="F43:F61" si="1">D43/3600</f>
        <v>2.1788888888888889</v>
      </c>
    </row>
    <row r="44" spans="1:6" x14ac:dyDescent="0.25">
      <c r="A44" s="1" t="s">
        <v>58</v>
      </c>
      <c r="B44" s="1" t="s">
        <v>104</v>
      </c>
      <c r="C44" s="3">
        <v>1.1433684825897199</v>
      </c>
      <c r="D44" s="1">
        <v>7815</v>
      </c>
      <c r="E44" s="3">
        <v>1.1221000000000001</v>
      </c>
      <c r="F44" s="8">
        <f t="shared" si="1"/>
        <v>2.1708333333333334</v>
      </c>
    </row>
    <row r="45" spans="1:6" x14ac:dyDescent="0.25">
      <c r="A45" s="1" t="s">
        <v>59</v>
      </c>
      <c r="B45" s="1" t="s">
        <v>104</v>
      </c>
      <c r="C45" s="3">
        <v>1.14112961292266</v>
      </c>
      <c r="D45" s="1">
        <v>7752</v>
      </c>
      <c r="E45" s="3">
        <v>1.1035999999999999</v>
      </c>
      <c r="F45" s="8">
        <f t="shared" si="1"/>
        <v>2.1533333333333333</v>
      </c>
    </row>
    <row r="46" spans="1:6" x14ac:dyDescent="0.25">
      <c r="A46" s="1" t="s">
        <v>60</v>
      </c>
      <c r="B46" s="1" t="s">
        <v>104</v>
      </c>
      <c r="C46" s="3">
        <v>1.12357354164123</v>
      </c>
      <c r="D46" s="1">
        <v>7449</v>
      </c>
      <c r="E46" s="3">
        <v>1.0900000000000001</v>
      </c>
      <c r="F46" s="8">
        <f t="shared" si="1"/>
        <v>2.0691666666666668</v>
      </c>
    </row>
    <row r="47" spans="1:6" x14ac:dyDescent="0.25">
      <c r="A47" s="1" t="s">
        <v>61</v>
      </c>
      <c r="B47" s="1" t="s">
        <v>104</v>
      </c>
      <c r="C47" s="3">
        <v>1.1333440542221001</v>
      </c>
      <c r="D47" s="1">
        <v>7552</v>
      </c>
      <c r="E47" s="3">
        <v>1.0988</v>
      </c>
      <c r="F47" s="8">
        <f t="shared" si="1"/>
        <v>2.097777777777778</v>
      </c>
    </row>
    <row r="48" spans="1:6" x14ac:dyDescent="0.25">
      <c r="A48" s="1" t="s">
        <v>62</v>
      </c>
      <c r="B48" s="1" t="s">
        <v>104</v>
      </c>
      <c r="C48" s="3">
        <v>1.14112961292266</v>
      </c>
      <c r="D48" s="1">
        <v>7748</v>
      </c>
      <c r="E48" s="3">
        <v>1.1035999999999999</v>
      </c>
      <c r="F48" s="8">
        <f t="shared" si="1"/>
        <v>2.152222222222222</v>
      </c>
    </row>
    <row r="49" spans="1:6" x14ac:dyDescent="0.25">
      <c r="A49" s="1" t="s">
        <v>63</v>
      </c>
      <c r="B49" s="1" t="s">
        <v>104</v>
      </c>
      <c r="C49" s="3">
        <v>1.1487896442413299</v>
      </c>
      <c r="D49" s="1">
        <v>8022</v>
      </c>
      <c r="E49" s="3">
        <v>1.1071</v>
      </c>
      <c r="F49" s="8">
        <f t="shared" si="1"/>
        <v>2.2283333333333335</v>
      </c>
    </row>
    <row r="50" spans="1:6" x14ac:dyDescent="0.25">
      <c r="A50" s="1" t="s">
        <v>64</v>
      </c>
      <c r="B50" s="1" t="s">
        <v>104</v>
      </c>
      <c r="C50" s="3">
        <v>1.14112961292266</v>
      </c>
      <c r="D50" s="1">
        <v>7756</v>
      </c>
      <c r="E50" s="3">
        <v>1.1035999999999999</v>
      </c>
      <c r="F50" s="8">
        <f t="shared" si="1"/>
        <v>2.1544444444444446</v>
      </c>
    </row>
    <row r="51" spans="1:6" x14ac:dyDescent="0.25">
      <c r="A51" s="1" t="s">
        <v>65</v>
      </c>
      <c r="B51" s="1" t="s">
        <v>104</v>
      </c>
      <c r="C51" s="3">
        <v>1.0792680978775</v>
      </c>
      <c r="D51" s="1">
        <v>8075</v>
      </c>
      <c r="E51" s="3">
        <v>1.0364</v>
      </c>
      <c r="F51" s="8">
        <f t="shared" si="1"/>
        <v>2.2430555555555554</v>
      </c>
    </row>
    <row r="52" spans="1:6" x14ac:dyDescent="0.25">
      <c r="A52" s="1" t="s">
        <v>66</v>
      </c>
      <c r="B52" s="1" t="s">
        <v>104</v>
      </c>
      <c r="C52" s="3">
        <v>1.0744439363479601</v>
      </c>
      <c r="D52" s="1">
        <v>8852</v>
      </c>
      <c r="E52" s="3">
        <v>1.03</v>
      </c>
      <c r="F52" s="8">
        <f t="shared" si="1"/>
        <v>2.4588888888888887</v>
      </c>
    </row>
    <row r="53" spans="1:6" x14ac:dyDescent="0.25">
      <c r="A53" s="1" t="s">
        <v>67</v>
      </c>
      <c r="B53" s="1" t="s">
        <v>104</v>
      </c>
      <c r="C53" s="3">
        <v>1.0708967447280799</v>
      </c>
      <c r="D53" s="1">
        <v>10997</v>
      </c>
      <c r="E53" s="3">
        <v>1.0269999999999999</v>
      </c>
      <c r="F53" s="8">
        <f t="shared" si="1"/>
        <v>3.0547222222222223</v>
      </c>
    </row>
    <row r="54" spans="1:6" x14ac:dyDescent="0.25">
      <c r="A54" s="1" t="s">
        <v>68</v>
      </c>
      <c r="B54" s="1" t="s">
        <v>104</v>
      </c>
      <c r="C54" s="3">
        <v>1.0727070569992001</v>
      </c>
      <c r="D54" s="1">
        <v>8877</v>
      </c>
      <c r="E54" s="3">
        <v>1.0286999999999999</v>
      </c>
      <c r="F54" s="8">
        <f t="shared" si="1"/>
        <v>2.4658333333333333</v>
      </c>
    </row>
    <row r="55" spans="1:6" x14ac:dyDescent="0.25">
      <c r="A55" s="1" t="s">
        <v>69</v>
      </c>
      <c r="B55" s="1" t="s">
        <v>104</v>
      </c>
      <c r="C55" s="3">
        <v>1.0768737792968699</v>
      </c>
      <c r="D55" s="1">
        <v>8753</v>
      </c>
      <c r="E55" s="3">
        <v>1.0348999999999999</v>
      </c>
      <c r="F55" s="8">
        <f t="shared" si="1"/>
        <v>2.4313888888888888</v>
      </c>
    </row>
    <row r="56" spans="1:6" x14ac:dyDescent="0.25">
      <c r="A56" s="1" t="s">
        <v>70</v>
      </c>
      <c r="B56" s="1" t="s">
        <v>104</v>
      </c>
      <c r="C56" s="3">
        <v>1.07408607006073</v>
      </c>
      <c r="D56" s="1">
        <v>8505</v>
      </c>
      <c r="E56" s="3">
        <v>1.032</v>
      </c>
      <c r="F56" s="8">
        <f t="shared" si="1"/>
        <v>2.3624999999999998</v>
      </c>
    </row>
    <row r="57" spans="1:6" x14ac:dyDescent="0.25">
      <c r="A57" s="1" t="s">
        <v>71</v>
      </c>
      <c r="B57" s="1" t="s">
        <v>104</v>
      </c>
      <c r="C57" s="3">
        <v>1.1095719337463299</v>
      </c>
      <c r="D57" s="1">
        <v>8254</v>
      </c>
      <c r="E57" s="3">
        <v>1.0723</v>
      </c>
      <c r="F57" s="8">
        <f t="shared" si="1"/>
        <v>2.2927777777777778</v>
      </c>
    </row>
    <row r="58" spans="1:6" x14ac:dyDescent="0.25">
      <c r="A58" s="1" t="s">
        <v>72</v>
      </c>
      <c r="B58" s="1" t="s">
        <v>104</v>
      </c>
      <c r="C58" s="3">
        <v>1.13844954967498</v>
      </c>
      <c r="D58" s="1">
        <v>8051</v>
      </c>
      <c r="E58" s="3">
        <v>1.1045</v>
      </c>
      <c r="F58" s="8">
        <f t="shared" si="1"/>
        <v>2.236388888888889</v>
      </c>
    </row>
    <row r="59" spans="1:6" x14ac:dyDescent="0.25">
      <c r="A59" s="1" t="s">
        <v>73</v>
      </c>
      <c r="B59" s="1" t="s">
        <v>104</v>
      </c>
      <c r="C59" s="3">
        <v>1.13623511791229</v>
      </c>
      <c r="D59" s="1">
        <v>8040</v>
      </c>
      <c r="E59" s="3">
        <v>1.0996999999999999</v>
      </c>
      <c r="F59" s="8">
        <f t="shared" si="1"/>
        <v>2.2333333333333334</v>
      </c>
    </row>
    <row r="60" spans="1:6" x14ac:dyDescent="0.25">
      <c r="A60" s="1" t="s">
        <v>74</v>
      </c>
      <c r="B60" s="1" t="s">
        <v>104</v>
      </c>
      <c r="C60" s="3">
        <v>1.1337159872055</v>
      </c>
      <c r="D60" s="1">
        <v>8051</v>
      </c>
      <c r="E60" s="3">
        <v>1.0968</v>
      </c>
      <c r="F60" s="8">
        <f t="shared" si="1"/>
        <v>2.236388888888889</v>
      </c>
    </row>
    <row r="61" spans="1:6" x14ac:dyDescent="0.25">
      <c r="A61" s="1" t="s">
        <v>75</v>
      </c>
      <c r="B61" s="1" t="s">
        <v>104</v>
      </c>
      <c r="C61" s="3">
        <v>1.1349464654922401</v>
      </c>
      <c r="D61" s="1">
        <v>8026</v>
      </c>
      <c r="E61" s="3">
        <v>1.0989</v>
      </c>
      <c r="F61" s="8">
        <f t="shared" si="1"/>
        <v>2.2294444444444443</v>
      </c>
    </row>
  </sheetData>
  <phoneticPr fontId="3" type="noConversion"/>
  <pageMargins left="0.7" right="0.7" top="0.75" bottom="0.75" header="0.3" footer="0.3"/>
  <pageSetup orientation="landscape"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C8D7-FE74-448A-97C8-AE261CA9C673}">
  <dimension ref="E2:Q31"/>
  <sheetViews>
    <sheetView tabSelected="1" zoomScale="130" zoomScaleNormal="130" workbookViewId="0">
      <selection activeCell="N24" sqref="N24"/>
    </sheetView>
  </sheetViews>
  <sheetFormatPr defaultRowHeight="20.100000000000001" customHeight="1" x14ac:dyDescent="0.25"/>
  <cols>
    <col min="1" max="5" width="9.140625" style="1"/>
    <col min="6" max="6" width="19.85546875" style="1" bestFit="1" customWidth="1"/>
    <col min="7" max="9" width="5.7109375" style="1" customWidth="1"/>
    <col min="10" max="12" width="10.7109375" style="1" customWidth="1"/>
    <col min="13" max="13" width="2" style="1" customWidth="1"/>
    <col min="14" max="16" width="10.7109375" style="1" customWidth="1"/>
    <col min="17" max="16384" width="9.140625" style="1"/>
  </cols>
  <sheetData>
    <row r="2" spans="5:17" ht="20.100000000000001" customHeight="1" x14ac:dyDescent="0.25"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</row>
    <row r="3" spans="5:17" ht="20.100000000000001" customHeight="1" x14ac:dyDescent="0.25">
      <c r="E3" s="48"/>
      <c r="F3" s="48"/>
      <c r="G3" s="48"/>
      <c r="H3" s="48"/>
      <c r="I3" s="48"/>
      <c r="J3" s="49" t="s">
        <v>108</v>
      </c>
      <c r="K3" s="48" t="s">
        <v>118</v>
      </c>
      <c r="L3" s="48"/>
      <c r="M3" s="48"/>
      <c r="N3" s="48"/>
      <c r="O3" s="48"/>
      <c r="P3" s="48"/>
      <c r="Q3" s="48"/>
    </row>
    <row r="4" spans="5:17" ht="20.100000000000001" customHeight="1" x14ac:dyDescent="0.25">
      <c r="E4" s="48"/>
      <c r="F4" s="48"/>
      <c r="G4" s="48"/>
      <c r="H4" s="48"/>
      <c r="I4" s="48"/>
      <c r="J4" s="50" t="s">
        <v>109</v>
      </c>
      <c r="K4" s="48" t="s">
        <v>119</v>
      </c>
      <c r="L4" s="48"/>
      <c r="M4" s="48"/>
      <c r="N4" s="48"/>
      <c r="O4" s="48"/>
      <c r="P4" s="48"/>
      <c r="Q4" s="48"/>
    </row>
    <row r="5" spans="5:17" ht="20.100000000000001" customHeight="1" thickBot="1" x14ac:dyDescent="0.3"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</row>
    <row r="6" spans="5:17" ht="20.100000000000001" customHeight="1" thickBot="1" x14ac:dyDescent="0.3">
      <c r="E6" s="48"/>
      <c r="J6" s="39" t="s">
        <v>113</v>
      </c>
      <c r="K6" s="40"/>
      <c r="L6" s="41"/>
      <c r="M6" s="48"/>
      <c r="N6" s="45" t="s">
        <v>117</v>
      </c>
      <c r="O6" s="46"/>
      <c r="P6" s="47"/>
      <c r="Q6" s="48"/>
    </row>
    <row r="7" spans="5:17" ht="20.100000000000001" customHeight="1" thickBot="1" x14ac:dyDescent="0.3">
      <c r="E7" s="48"/>
      <c r="F7" s="14" t="s">
        <v>112</v>
      </c>
      <c r="G7" s="15" t="s">
        <v>105</v>
      </c>
      <c r="H7" s="15" t="s">
        <v>106</v>
      </c>
      <c r="I7" s="15" t="s">
        <v>107</v>
      </c>
      <c r="J7" s="17" t="s">
        <v>108</v>
      </c>
      <c r="K7" s="15" t="s">
        <v>109</v>
      </c>
      <c r="L7" s="16" t="s">
        <v>110</v>
      </c>
      <c r="M7" s="48"/>
      <c r="N7" s="17" t="s">
        <v>108</v>
      </c>
      <c r="O7" s="15" t="s">
        <v>109</v>
      </c>
      <c r="P7" s="16" t="s">
        <v>111</v>
      </c>
      <c r="Q7" s="48"/>
    </row>
    <row r="8" spans="5:17" ht="20.100000000000001" customHeight="1" x14ac:dyDescent="0.25">
      <c r="E8" s="48"/>
      <c r="F8" s="18" t="s">
        <v>57</v>
      </c>
      <c r="G8" s="19">
        <v>8</v>
      </c>
      <c r="H8" s="19">
        <v>1</v>
      </c>
      <c r="I8" s="19">
        <v>0</v>
      </c>
      <c r="J8" s="42">
        <v>2.8627777777777776</v>
      </c>
      <c r="K8" s="20">
        <v>2.1788888888888889</v>
      </c>
      <c r="L8" s="21">
        <f>(J8-K8)/J8</f>
        <v>0.23888996700950899</v>
      </c>
      <c r="M8" s="48"/>
      <c r="N8" s="30">
        <v>1.12694776058197</v>
      </c>
      <c r="O8" s="31">
        <v>1.1338026523589999</v>
      </c>
      <c r="P8" s="32">
        <f>(O8-N8)</f>
        <v>6.8548917770299145E-3</v>
      </c>
      <c r="Q8" s="48"/>
    </row>
    <row r="9" spans="5:17" ht="20.100000000000001" customHeight="1" x14ac:dyDescent="0.25">
      <c r="E9" s="48"/>
      <c r="F9" s="22" t="s">
        <v>58</v>
      </c>
      <c r="G9" s="23">
        <v>8</v>
      </c>
      <c r="H9" s="23">
        <v>1</v>
      </c>
      <c r="I9" s="23">
        <v>0</v>
      </c>
      <c r="J9" s="43">
        <v>2.8602777777777777</v>
      </c>
      <c r="K9" s="24">
        <v>2.1708333333333334</v>
      </c>
      <c r="L9" s="25">
        <f t="shared" ref="L9:L26" si="0">(J9-K9)/J9</f>
        <v>0.24104107992619206</v>
      </c>
      <c r="M9" s="48"/>
      <c r="N9" s="33">
        <v>1.1370919942855799</v>
      </c>
      <c r="O9" s="34">
        <v>1.1433684825897199</v>
      </c>
      <c r="P9" s="35">
        <f t="shared" ref="P9:P26" si="1">(O9-N9)</f>
        <v>6.27648830413996E-3</v>
      </c>
      <c r="Q9" s="48"/>
    </row>
    <row r="10" spans="5:17" ht="20.100000000000001" customHeight="1" thickBot="1" x14ac:dyDescent="0.3">
      <c r="E10" s="48"/>
      <c r="F10" s="26" t="s">
        <v>59</v>
      </c>
      <c r="G10" s="27">
        <v>8</v>
      </c>
      <c r="H10" s="27">
        <v>1</v>
      </c>
      <c r="I10" s="27">
        <v>0</v>
      </c>
      <c r="J10" s="44">
        <v>2.7875000000000001</v>
      </c>
      <c r="K10" s="28">
        <v>2.1533333333333333</v>
      </c>
      <c r="L10" s="29">
        <f t="shared" si="0"/>
        <v>0.2275037369207773</v>
      </c>
      <c r="M10" s="48"/>
      <c r="N10" s="36">
        <v>1.1295984983444201</v>
      </c>
      <c r="O10" s="37">
        <v>1.14112961292266</v>
      </c>
      <c r="P10" s="38">
        <f t="shared" si="1"/>
        <v>1.1531114578239965E-2</v>
      </c>
      <c r="Q10" s="48"/>
    </row>
    <row r="11" spans="5:17" ht="20.100000000000001" customHeight="1" x14ac:dyDescent="0.25">
      <c r="E11" s="48"/>
      <c r="F11" s="18" t="s">
        <v>60</v>
      </c>
      <c r="G11" s="19">
        <v>2</v>
      </c>
      <c r="H11" s="19">
        <v>1</v>
      </c>
      <c r="I11" s="19">
        <v>0</v>
      </c>
      <c r="J11" s="42">
        <v>2.3319444444444444</v>
      </c>
      <c r="K11" s="20">
        <v>2.0691666666666668</v>
      </c>
      <c r="L11" s="21">
        <f t="shared" si="0"/>
        <v>0.11268612269207852</v>
      </c>
      <c r="M11" s="48"/>
      <c r="N11" s="30">
        <v>1.11804747581481</v>
      </c>
      <c r="O11" s="31">
        <v>1.12357354164123</v>
      </c>
      <c r="P11" s="32">
        <f t="shared" si="1"/>
        <v>5.5260658264200124E-3</v>
      </c>
      <c r="Q11" s="48"/>
    </row>
    <row r="12" spans="5:17" ht="20.100000000000001" customHeight="1" x14ac:dyDescent="0.25">
      <c r="E12" s="48"/>
      <c r="F12" s="22" t="s">
        <v>61</v>
      </c>
      <c r="G12" s="23">
        <v>4</v>
      </c>
      <c r="H12" s="23">
        <v>1</v>
      </c>
      <c r="I12" s="23">
        <v>0</v>
      </c>
      <c r="J12" s="43">
        <v>2.4630555555555556</v>
      </c>
      <c r="K12" s="24">
        <v>2.097777777777778</v>
      </c>
      <c r="L12" s="25">
        <f t="shared" si="0"/>
        <v>0.14830269538739138</v>
      </c>
      <c r="M12" s="48"/>
      <c r="N12" s="33">
        <v>1.1246691942214899</v>
      </c>
      <c r="O12" s="34">
        <v>1.1333440542221001</v>
      </c>
      <c r="P12" s="35">
        <f t="shared" si="1"/>
        <v>8.6748600006101295E-3</v>
      </c>
      <c r="Q12" s="48"/>
    </row>
    <row r="13" spans="5:17" ht="20.100000000000001" customHeight="1" x14ac:dyDescent="0.25">
      <c r="E13" s="48"/>
      <c r="F13" s="22" t="s">
        <v>62</v>
      </c>
      <c r="G13" s="23">
        <v>8</v>
      </c>
      <c r="H13" s="23">
        <v>1</v>
      </c>
      <c r="I13" s="23">
        <v>0</v>
      </c>
      <c r="J13" s="43">
        <v>2.8013888888888889</v>
      </c>
      <c r="K13" s="24">
        <v>2.152222222222222</v>
      </c>
      <c r="L13" s="25">
        <f t="shared" si="0"/>
        <v>0.2317302925136342</v>
      </c>
      <c r="M13" s="48"/>
      <c r="N13" s="33">
        <v>1.1295984983444201</v>
      </c>
      <c r="O13" s="34">
        <v>1.14112961292266</v>
      </c>
      <c r="P13" s="35">
        <f t="shared" si="1"/>
        <v>1.1531114578239965E-2</v>
      </c>
      <c r="Q13" s="48"/>
    </row>
    <row r="14" spans="5:17" ht="20.100000000000001" customHeight="1" thickBot="1" x14ac:dyDescent="0.3">
      <c r="E14" s="48"/>
      <c r="F14" s="26" t="s">
        <v>63</v>
      </c>
      <c r="G14" s="27">
        <v>16</v>
      </c>
      <c r="H14" s="27">
        <v>1</v>
      </c>
      <c r="I14" s="27">
        <v>0</v>
      </c>
      <c r="J14" s="44">
        <v>3.59</v>
      </c>
      <c r="K14" s="28">
        <v>2.2283333333333335</v>
      </c>
      <c r="L14" s="29">
        <f t="shared" si="0"/>
        <v>0.37929433611884861</v>
      </c>
      <c r="M14" s="48"/>
      <c r="N14" s="36">
        <v>1.1377271413803101</v>
      </c>
      <c r="O14" s="37">
        <v>1.1487896442413299</v>
      </c>
      <c r="P14" s="38">
        <f t="shared" si="1"/>
        <v>1.1062502861019841E-2</v>
      </c>
      <c r="Q14" s="48"/>
    </row>
    <row r="15" spans="5:17" ht="20.100000000000001" customHeight="1" x14ac:dyDescent="0.25">
      <c r="E15" s="48"/>
      <c r="F15" s="18" t="s">
        <v>64</v>
      </c>
      <c r="G15" s="19">
        <v>8</v>
      </c>
      <c r="H15" s="19">
        <v>1</v>
      </c>
      <c r="I15" s="19">
        <v>0</v>
      </c>
      <c r="J15" s="42">
        <v>2.7908333333333335</v>
      </c>
      <c r="K15" s="20">
        <v>2.1544444444444446</v>
      </c>
      <c r="L15" s="21">
        <f t="shared" si="0"/>
        <v>0.2280282671444212</v>
      </c>
      <c r="M15" s="48"/>
      <c r="N15" s="30">
        <v>1.1295984983444201</v>
      </c>
      <c r="O15" s="31">
        <v>1.14112961292266</v>
      </c>
      <c r="P15" s="32">
        <f t="shared" si="1"/>
        <v>1.1531114578239965E-2</v>
      </c>
      <c r="Q15" s="48"/>
    </row>
    <row r="16" spans="5:17" ht="20.100000000000001" customHeight="1" x14ac:dyDescent="0.25">
      <c r="E16" s="48"/>
      <c r="F16" s="22" t="s">
        <v>65</v>
      </c>
      <c r="G16" s="23">
        <v>16</v>
      </c>
      <c r="H16" s="23">
        <v>2</v>
      </c>
      <c r="I16" s="23">
        <v>0</v>
      </c>
      <c r="J16" s="43">
        <v>3.4044444444444446</v>
      </c>
      <c r="K16" s="24">
        <v>2.2430555555555554</v>
      </c>
      <c r="L16" s="25">
        <f t="shared" si="0"/>
        <v>0.34113903394255884</v>
      </c>
      <c r="M16" s="48"/>
      <c r="N16" s="33">
        <v>1.0658214092254601</v>
      </c>
      <c r="O16" s="34">
        <v>1.0792680978775</v>
      </c>
      <c r="P16" s="35">
        <f t="shared" si="1"/>
        <v>1.3446688652039906E-2</v>
      </c>
      <c r="Q16" s="48"/>
    </row>
    <row r="17" spans="5:17" ht="20.100000000000001" customHeight="1" x14ac:dyDescent="0.25">
      <c r="E17" s="48"/>
      <c r="F17" s="22" t="s">
        <v>66</v>
      </c>
      <c r="G17" s="23">
        <v>32</v>
      </c>
      <c r="H17" s="23">
        <v>4</v>
      </c>
      <c r="I17" s="23">
        <v>0</v>
      </c>
      <c r="J17" s="43">
        <v>4.980833333333333</v>
      </c>
      <c r="K17" s="24">
        <v>2.4588888888888887</v>
      </c>
      <c r="L17" s="25">
        <f t="shared" si="0"/>
        <v>0.50632981986503822</v>
      </c>
      <c r="M17" s="48"/>
      <c r="N17" s="33">
        <v>1.0581374168395901</v>
      </c>
      <c r="O17" s="34">
        <v>1.0744439363479601</v>
      </c>
      <c r="P17" s="35">
        <f t="shared" si="1"/>
        <v>1.6306519508370032E-2</v>
      </c>
      <c r="Q17" s="48"/>
    </row>
    <row r="18" spans="5:17" ht="20.100000000000001" customHeight="1" thickBot="1" x14ac:dyDescent="0.3">
      <c r="E18" s="48"/>
      <c r="F18" s="26" t="s">
        <v>67</v>
      </c>
      <c r="G18" s="27">
        <v>64</v>
      </c>
      <c r="H18" s="27">
        <v>8</v>
      </c>
      <c r="I18" s="27">
        <v>0</v>
      </c>
      <c r="J18" s="44">
        <v>7.6569444444444441</v>
      </c>
      <c r="K18" s="28">
        <v>3.0547222222222223</v>
      </c>
      <c r="L18" s="29">
        <f t="shared" si="0"/>
        <v>0.60105205877017964</v>
      </c>
      <c r="M18" s="48"/>
      <c r="N18" s="36">
        <v>1.05835402011871</v>
      </c>
      <c r="O18" s="37">
        <v>1.0708967447280799</v>
      </c>
      <c r="P18" s="38">
        <f t="shared" si="1"/>
        <v>1.2542724609369893E-2</v>
      </c>
      <c r="Q18" s="48"/>
    </row>
    <row r="19" spans="5:17" ht="20.100000000000001" customHeight="1" x14ac:dyDescent="0.25">
      <c r="E19" s="48"/>
      <c r="F19" s="18" t="s">
        <v>68</v>
      </c>
      <c r="G19" s="19">
        <v>32</v>
      </c>
      <c r="H19" s="19">
        <v>4</v>
      </c>
      <c r="I19" s="19">
        <v>0</v>
      </c>
      <c r="J19" s="42">
        <v>4.9780555555555557</v>
      </c>
      <c r="K19" s="20">
        <v>2.4658333333333333</v>
      </c>
      <c r="L19" s="21">
        <f t="shared" si="0"/>
        <v>0.50465933820657327</v>
      </c>
      <c r="M19" s="48"/>
      <c r="N19" s="30">
        <v>1.0581374168395901</v>
      </c>
      <c r="O19" s="31">
        <v>1.0727070569992001</v>
      </c>
      <c r="P19" s="32">
        <f t="shared" si="1"/>
        <v>1.4569640159610042E-2</v>
      </c>
      <c r="Q19" s="48"/>
    </row>
    <row r="20" spans="5:17" ht="20.100000000000001" customHeight="1" x14ac:dyDescent="0.25">
      <c r="E20" s="48"/>
      <c r="F20" s="22" t="s">
        <v>69</v>
      </c>
      <c r="G20" s="23">
        <v>31</v>
      </c>
      <c r="H20" s="23">
        <v>3</v>
      </c>
      <c r="I20" s="23">
        <v>1</v>
      </c>
      <c r="J20" s="43">
        <v>4.7872222222222218</v>
      </c>
      <c r="K20" s="24">
        <v>2.4313888888888888</v>
      </c>
      <c r="L20" s="25">
        <f t="shared" si="0"/>
        <v>0.49210862249042586</v>
      </c>
      <c r="M20" s="48"/>
      <c r="N20" s="33">
        <v>1.0572606325149501</v>
      </c>
      <c r="O20" s="34">
        <v>1.0768737792968699</v>
      </c>
      <c r="P20" s="35">
        <f t="shared" si="1"/>
        <v>1.9613146781919832E-2</v>
      </c>
      <c r="Q20" s="48"/>
    </row>
    <row r="21" spans="5:17" ht="20.100000000000001" customHeight="1" x14ac:dyDescent="0.25">
      <c r="E21" s="48"/>
      <c r="F21" s="22" t="s">
        <v>70</v>
      </c>
      <c r="G21" s="23">
        <v>30</v>
      </c>
      <c r="H21" s="23">
        <v>2</v>
      </c>
      <c r="I21" s="23">
        <v>2</v>
      </c>
      <c r="J21" s="43">
        <v>4.576944444444444</v>
      </c>
      <c r="K21" s="24">
        <v>2.3624999999999998</v>
      </c>
      <c r="L21" s="25">
        <f t="shared" si="0"/>
        <v>0.48382593918795896</v>
      </c>
      <c r="M21" s="48"/>
      <c r="N21" s="33">
        <v>1.05996394157409</v>
      </c>
      <c r="O21" s="34">
        <v>1.07408607006073</v>
      </c>
      <c r="P21" s="35">
        <f t="shared" si="1"/>
        <v>1.4122128486639962E-2</v>
      </c>
      <c r="Q21" s="48"/>
    </row>
    <row r="22" spans="5:17" ht="20.100000000000001" customHeight="1" thickBot="1" x14ac:dyDescent="0.3">
      <c r="E22" s="48"/>
      <c r="F22" s="26" t="s">
        <v>71</v>
      </c>
      <c r="G22" s="27">
        <v>29</v>
      </c>
      <c r="H22" s="27">
        <v>1</v>
      </c>
      <c r="I22" s="27">
        <v>3</v>
      </c>
      <c r="J22" s="44">
        <v>4.3561111111111108</v>
      </c>
      <c r="K22" s="28">
        <v>2.2927777777777778</v>
      </c>
      <c r="L22" s="29">
        <f t="shared" si="0"/>
        <v>0.47366407346001782</v>
      </c>
      <c r="M22" s="48"/>
      <c r="N22" s="36">
        <v>1.1013923883438099</v>
      </c>
      <c r="O22" s="37">
        <v>1.1095719337463299</v>
      </c>
      <c r="P22" s="38">
        <f t="shared" si="1"/>
        <v>8.1795454025199721E-3</v>
      </c>
      <c r="Q22" s="48"/>
    </row>
    <row r="23" spans="5:17" ht="20.100000000000001" customHeight="1" x14ac:dyDescent="0.25">
      <c r="E23" s="48"/>
      <c r="F23" s="18" t="s">
        <v>72</v>
      </c>
      <c r="G23" s="19">
        <v>8</v>
      </c>
      <c r="H23" s="19">
        <v>1</v>
      </c>
      <c r="I23" s="19">
        <v>0</v>
      </c>
      <c r="J23" s="42">
        <v>2.7780555555555555</v>
      </c>
      <c r="K23" s="20">
        <v>2.236388888888889</v>
      </c>
      <c r="L23" s="21">
        <f t="shared" si="0"/>
        <v>0.19498050194980496</v>
      </c>
      <c r="M23" s="48"/>
      <c r="N23" s="30">
        <v>1.1316434144973699</v>
      </c>
      <c r="O23" s="31">
        <v>1.13844954967498</v>
      </c>
      <c r="P23" s="32">
        <f t="shared" si="1"/>
        <v>6.8061351776100842E-3</v>
      </c>
      <c r="Q23" s="48"/>
    </row>
    <row r="24" spans="5:17" ht="20.100000000000001" customHeight="1" x14ac:dyDescent="0.25">
      <c r="E24" s="48"/>
      <c r="F24" s="22" t="s">
        <v>73</v>
      </c>
      <c r="G24" s="23">
        <v>8</v>
      </c>
      <c r="H24" s="23">
        <v>1</v>
      </c>
      <c r="I24" s="23">
        <v>0</v>
      </c>
      <c r="J24" s="43">
        <v>2.766111111111111</v>
      </c>
      <c r="K24" s="24">
        <v>2.2333333333333334</v>
      </c>
      <c r="L24" s="25">
        <f t="shared" si="0"/>
        <v>0.19260895762201238</v>
      </c>
      <c r="M24" s="48"/>
      <c r="N24" s="33">
        <v>1.1320948600769001</v>
      </c>
      <c r="O24" s="34">
        <v>1.13623511791229</v>
      </c>
      <c r="P24" s="35">
        <f t="shared" si="1"/>
        <v>4.14025783538996E-3</v>
      </c>
      <c r="Q24" s="48"/>
    </row>
    <row r="25" spans="5:17" ht="20.100000000000001" customHeight="1" x14ac:dyDescent="0.25">
      <c r="E25" s="48"/>
      <c r="F25" s="22" t="s">
        <v>74</v>
      </c>
      <c r="G25" s="23">
        <v>8</v>
      </c>
      <c r="H25" s="23">
        <v>1</v>
      </c>
      <c r="I25" s="23">
        <v>0</v>
      </c>
      <c r="J25" s="43">
        <v>2.74</v>
      </c>
      <c r="K25" s="24">
        <v>2.236388888888889</v>
      </c>
      <c r="L25" s="25">
        <f t="shared" si="0"/>
        <v>0.18379967558799679</v>
      </c>
      <c r="M25" s="48"/>
      <c r="N25" s="33">
        <v>1.1334214210510201</v>
      </c>
      <c r="O25" s="34">
        <v>1.1337159872055</v>
      </c>
      <c r="P25" s="35">
        <f t="shared" si="1"/>
        <v>2.9456615447998047E-4</v>
      </c>
      <c r="Q25" s="48"/>
    </row>
    <row r="26" spans="5:17" ht="20.100000000000001" customHeight="1" thickBot="1" x14ac:dyDescent="0.3">
      <c r="E26" s="48"/>
      <c r="F26" s="26" t="s">
        <v>75</v>
      </c>
      <c r="G26" s="27">
        <v>8</v>
      </c>
      <c r="H26" s="27">
        <v>1</v>
      </c>
      <c r="I26" s="27">
        <v>0</v>
      </c>
      <c r="J26" s="44">
        <v>2.7516666666666665</v>
      </c>
      <c r="K26" s="28">
        <v>2.2294444444444443</v>
      </c>
      <c r="L26" s="29">
        <f t="shared" si="0"/>
        <v>0.18978396931152836</v>
      </c>
      <c r="M26" s="48"/>
      <c r="N26" s="36">
        <v>1.1313065290451001</v>
      </c>
      <c r="O26" s="37">
        <v>1.1349464654922401</v>
      </c>
      <c r="P26" s="38">
        <f t="shared" si="1"/>
        <v>3.639936447140002E-3</v>
      </c>
      <c r="Q26" s="48"/>
    </row>
    <row r="27" spans="5:17" ht="20.100000000000001" customHeight="1" x14ac:dyDescent="0.25">
      <c r="E27" s="48"/>
      <c r="F27" s="48"/>
      <c r="G27" s="48"/>
      <c r="H27" s="48"/>
      <c r="I27" s="48"/>
      <c r="J27" s="48"/>
      <c r="K27" s="1" t="s">
        <v>114</v>
      </c>
      <c r="L27" s="12">
        <f>AVERAGE(L8:L26)</f>
        <v>0.31428570990036558</v>
      </c>
      <c r="M27" s="48"/>
      <c r="N27" s="48"/>
      <c r="O27" s="1" t="s">
        <v>114</v>
      </c>
      <c r="P27" s="13">
        <f>AVERAGE(P8:P26)</f>
        <v>9.8236548273173373E-3</v>
      </c>
      <c r="Q27" s="48"/>
    </row>
    <row r="28" spans="5:17" ht="20.100000000000001" customHeight="1" x14ac:dyDescent="0.25">
      <c r="E28" s="48"/>
      <c r="F28" s="48"/>
      <c r="G28" s="48"/>
      <c r="H28" s="48"/>
      <c r="I28" s="48"/>
      <c r="J28" s="48"/>
      <c r="K28" s="1" t="s">
        <v>116</v>
      </c>
      <c r="L28" s="12">
        <f>MIN(L8:L26)</f>
        <v>0.11268612269207852</v>
      </c>
      <c r="M28" s="48"/>
      <c r="N28" s="48"/>
      <c r="O28" s="1" t="s">
        <v>116</v>
      </c>
      <c r="P28" s="13">
        <f>MIN(P8:P26)</f>
        <v>2.9456615447998047E-4</v>
      </c>
      <c r="Q28" s="48"/>
    </row>
    <row r="29" spans="5:17" ht="20.100000000000001" customHeight="1" x14ac:dyDescent="0.25">
      <c r="E29" s="48"/>
      <c r="F29" s="48"/>
      <c r="G29" s="48"/>
      <c r="H29" s="48"/>
      <c r="I29" s="48"/>
      <c r="J29" s="48"/>
      <c r="K29" s="1" t="s">
        <v>115</v>
      </c>
      <c r="L29" s="12">
        <f>MAX(L8:L26)</f>
        <v>0.60105205877017964</v>
      </c>
      <c r="M29" s="48"/>
      <c r="N29" s="48"/>
      <c r="O29" s="1" t="s">
        <v>115</v>
      </c>
      <c r="P29" s="13">
        <f>MAX(P8:P26)</f>
        <v>1.9613146781919832E-2</v>
      </c>
      <c r="Q29" s="48"/>
    </row>
    <row r="30" spans="5:17" ht="20.100000000000001" customHeight="1" x14ac:dyDescent="0.25"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</row>
    <row r="31" spans="5:17" ht="20.100000000000001" customHeight="1" x14ac:dyDescent="0.25"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</row>
  </sheetData>
  <mergeCells count="2">
    <mergeCell ref="J6:L6"/>
    <mergeCell ref="N6:P6"/>
  </mergeCells>
  <conditionalFormatting sqref="L8:L26">
    <cfRule type="colorScale" priority="3">
      <colorScale>
        <cfvo type="min"/>
        <cfvo type="max"/>
        <color rgb="FFFFEF9C"/>
        <color rgb="FF63BE7B"/>
      </colorScale>
    </cfRule>
  </conditionalFormatting>
  <conditionalFormatting sqref="L27:L29">
    <cfRule type="colorScale" priority="2">
      <colorScale>
        <cfvo type="min"/>
        <cfvo type="max"/>
        <color rgb="FFFFEF9C"/>
        <color rgb="FF63BE7B"/>
      </colorScale>
    </cfRule>
  </conditionalFormatting>
  <conditionalFormatting sqref="P8:P29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0119-raw</vt:lpstr>
      <vt:lpstr>0213-raw</vt:lpstr>
      <vt:lpstr>0716-raw</vt:lpstr>
      <vt:lpstr>pivot</vt:lpstr>
      <vt:lpstr>0119-v-0716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Vui Seng Chua</dc:creator>
  <cp:lastModifiedBy>Vui Seng Chua</cp:lastModifiedBy>
  <dcterms:created xsi:type="dcterms:W3CDTF">2026-07-16T03:56:09Z</dcterms:created>
  <dcterms:modified xsi:type="dcterms:W3CDTF">2026-07-18T00:09:55Z</dcterms:modified>
</cp:coreProperties>
</file>