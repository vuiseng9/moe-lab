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s9ch\Desktop\"/>
    </mc:Choice>
  </mc:AlternateContent>
  <xr:revisionPtr revIDLastSave="0" documentId="13_ncr:1_{87247182-EB17-4C4B-ADB5-E724A81E141B}" xr6:coauthVersionLast="47" xr6:coauthVersionMax="47" xr10:uidLastSave="{00000000-0000-0000-0000-000000000000}"/>
  <bookViews>
    <workbookView xWindow="-120" yWindow="-120" windowWidth="38640" windowHeight="21120" activeTab="5" xr2:uid="{D99F11E6-6C9E-4F01-8658-ADC6CA952D2D}"/>
  </bookViews>
  <sheets>
    <sheet name="0119-raw" sheetId="1" r:id="rId1"/>
    <sheet name="0213-raw" sheetId="2" r:id="rId2"/>
    <sheet name="0716-raw" sheetId="5" r:id="rId3"/>
    <sheet name="pivot" sheetId="3" r:id="rId4"/>
    <sheet name="0119-v-0716" sheetId="7" r:id="rId5"/>
    <sheet name="917-latentmoe" sheetId="10" r:id="rId6"/>
    <sheet name="l1_param" sheetId="11" r:id="rId7"/>
    <sheet name="l2_param" sheetId="12" r:id="rId8"/>
    <sheet name="l4_param" sheetId="14" r:id="rId9"/>
    <sheet name="l6_param" sheetId="15" r:id="rId10"/>
    <sheet name="l3_param" sheetId="13" r:id="rId11"/>
    <sheet name="l3_eff" sheetId="17" r:id="rId12"/>
    <sheet name="l3_acc" sheetId="19" r:id="rId13"/>
    <sheet name="l3_bal" sheetId="20" r:id="rId14"/>
  </sheets>
  <calcPr calcId="191029"/>
  <pivotCaches>
    <pivotCache cacheId="0" r:id="rId1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17" i="10" l="1"/>
  <c r="J14" i="10"/>
  <c r="J15" i="10"/>
  <c r="J10" i="10"/>
  <c r="J11" i="10"/>
  <c r="J12" i="10"/>
  <c r="J9" i="10"/>
  <c r="L14" i="10"/>
  <c r="O8" i="10"/>
  <c r="R8" i="10"/>
  <c r="K9" i="10"/>
  <c r="O9" i="10"/>
  <c r="K10" i="10"/>
  <c r="O10" i="10"/>
  <c r="K11" i="10"/>
  <c r="O11" i="10"/>
  <c r="K12" i="10"/>
  <c r="O12" i="10"/>
  <c r="K14" i="10"/>
  <c r="O14" i="10"/>
  <c r="R14" i="10"/>
  <c r="K15" i="10"/>
  <c r="O15" i="10"/>
  <c r="R15" i="10"/>
  <c r="K17" i="10"/>
  <c r="O17" i="10"/>
  <c r="R17" i="10"/>
  <c r="Y10" i="10"/>
  <c r="M1048564" i="10"/>
  <c r="N1048564" i="10"/>
  <c r="P1048564" i="10"/>
  <c r="Q1048564" i="10"/>
  <c r="K8" i="20"/>
  <c r="H111" i="20"/>
  <c r="L12" i="20"/>
  <c r="L13" i="20"/>
  <c r="L14" i="20"/>
  <c r="L15" i="20"/>
  <c r="L16" i="20"/>
  <c r="L17" i="20"/>
  <c r="L18" i="20"/>
  <c r="L19" i="20"/>
  <c r="L20" i="20"/>
  <c r="L21" i="20"/>
  <c r="L22" i="20"/>
  <c r="L23" i="20"/>
  <c r="L24" i="20"/>
  <c r="L25" i="20"/>
  <c r="L26" i="20"/>
  <c r="L27" i="20"/>
  <c r="L28" i="20"/>
  <c r="L29" i="20"/>
  <c r="L30" i="20"/>
  <c r="L31" i="20"/>
  <c r="L32" i="20"/>
  <c r="L33" i="20"/>
  <c r="L34" i="20"/>
  <c r="L35" i="20"/>
  <c r="L36" i="20"/>
  <c r="L37" i="20"/>
  <c r="L38" i="20"/>
  <c r="L39" i="20"/>
  <c r="L40" i="20"/>
  <c r="L41" i="20"/>
  <c r="L42" i="20"/>
  <c r="L43" i="20"/>
  <c r="L44" i="20"/>
  <c r="L45" i="20"/>
  <c r="L46" i="20"/>
  <c r="L47" i="20"/>
  <c r="L48" i="20"/>
  <c r="L49" i="20"/>
  <c r="L50" i="20"/>
  <c r="L51" i="20"/>
  <c r="L52" i="20"/>
  <c r="L53" i="20"/>
  <c r="L54" i="20"/>
  <c r="L55" i="20"/>
  <c r="L56" i="20"/>
  <c r="L57" i="20"/>
  <c r="L58" i="20"/>
  <c r="L59" i="20"/>
  <c r="L60" i="20"/>
  <c r="L61" i="20"/>
  <c r="L62" i="20"/>
  <c r="L63" i="20"/>
  <c r="L64" i="20"/>
  <c r="L65" i="20"/>
  <c r="L66" i="20"/>
  <c r="L67" i="20"/>
  <c r="L68" i="20"/>
  <c r="L69" i="20"/>
  <c r="L70" i="20"/>
  <c r="L71" i="20"/>
  <c r="L72" i="20"/>
  <c r="L73" i="20"/>
  <c r="L74" i="20"/>
  <c r="L75" i="20"/>
  <c r="L76" i="20"/>
  <c r="L77" i="20"/>
  <c r="L78" i="20"/>
  <c r="L79" i="20"/>
  <c r="L80" i="20"/>
  <c r="L81" i="20"/>
  <c r="L82" i="20"/>
  <c r="L83" i="20"/>
  <c r="L84" i="20"/>
  <c r="L85" i="20"/>
  <c r="L86" i="20"/>
  <c r="L87" i="20"/>
  <c r="L88" i="20"/>
  <c r="L89" i="20"/>
  <c r="L90" i="20"/>
  <c r="L91" i="20"/>
  <c r="L92" i="20"/>
  <c r="L93" i="20"/>
  <c r="L94" i="20"/>
  <c r="L95" i="20"/>
  <c r="L96" i="20"/>
  <c r="L97" i="20"/>
  <c r="L98" i="20"/>
  <c r="L99" i="20"/>
  <c r="L100" i="20"/>
  <c r="L101" i="20"/>
  <c r="L102" i="20"/>
  <c r="L103" i="20"/>
  <c r="L104" i="20"/>
  <c r="L105" i="20"/>
  <c r="L106" i="20"/>
  <c r="L107" i="20"/>
  <c r="L108" i="20"/>
  <c r="L109" i="20"/>
  <c r="L110" i="20"/>
  <c r="F107" i="19"/>
  <c r="J8" i="19"/>
  <c r="J9" i="19"/>
  <c r="J10" i="19"/>
  <c r="J11" i="19"/>
  <c r="J12" i="19"/>
  <c r="J13" i="19"/>
  <c r="J14" i="19"/>
  <c r="J15" i="19"/>
  <c r="J16" i="19"/>
  <c r="J17" i="19"/>
  <c r="J18" i="19"/>
  <c r="J19" i="19"/>
  <c r="J20" i="19"/>
  <c r="J21" i="19"/>
  <c r="J22" i="19"/>
  <c r="J23" i="19"/>
  <c r="J24" i="19"/>
  <c r="J25" i="19"/>
  <c r="J26" i="19"/>
  <c r="J27" i="19"/>
  <c r="J28" i="19"/>
  <c r="J29" i="19"/>
  <c r="J30" i="19"/>
  <c r="J31" i="19"/>
  <c r="J32" i="19"/>
  <c r="J33" i="19"/>
  <c r="J34" i="19"/>
  <c r="J35" i="19"/>
  <c r="J36" i="19"/>
  <c r="J37" i="19"/>
  <c r="J38" i="19"/>
  <c r="J39" i="19"/>
  <c r="J40" i="19"/>
  <c r="J41" i="19"/>
  <c r="J42" i="19"/>
  <c r="J43" i="19"/>
  <c r="J44" i="19"/>
  <c r="J45" i="19"/>
  <c r="J46" i="19"/>
  <c r="J47" i="19"/>
  <c r="J48" i="19"/>
  <c r="J49" i="19"/>
  <c r="J50" i="19"/>
  <c r="J51" i="19"/>
  <c r="J52" i="19"/>
  <c r="J53" i="19"/>
  <c r="J54" i="19"/>
  <c r="J55" i="19"/>
  <c r="J56" i="19"/>
  <c r="J57" i="19"/>
  <c r="J58" i="19"/>
  <c r="J59" i="19"/>
  <c r="J60" i="19"/>
  <c r="J61" i="19"/>
  <c r="J62" i="19"/>
  <c r="J63" i="19"/>
  <c r="J64" i="19"/>
  <c r="J65" i="19"/>
  <c r="J66" i="19"/>
  <c r="J67" i="19"/>
  <c r="J68" i="19"/>
  <c r="J69" i="19"/>
  <c r="J70" i="19"/>
  <c r="J71" i="19"/>
  <c r="J72" i="19"/>
  <c r="J73" i="19"/>
  <c r="J74" i="19"/>
  <c r="J75" i="19"/>
  <c r="J76" i="19"/>
  <c r="J77" i="19"/>
  <c r="J78" i="19"/>
  <c r="J79" i="19"/>
  <c r="J80" i="19"/>
  <c r="J81" i="19"/>
  <c r="J82" i="19"/>
  <c r="J83" i="19"/>
  <c r="J84" i="19"/>
  <c r="J85" i="19"/>
  <c r="J86" i="19"/>
  <c r="J87" i="19"/>
  <c r="J88" i="19"/>
  <c r="J89" i="19"/>
  <c r="J90" i="19"/>
  <c r="J91" i="19"/>
  <c r="J92" i="19"/>
  <c r="J93" i="19"/>
  <c r="J94" i="19"/>
  <c r="J95" i="19"/>
  <c r="J96" i="19"/>
  <c r="J97" i="19"/>
  <c r="J98" i="19"/>
  <c r="J99" i="19"/>
  <c r="J100" i="19"/>
  <c r="J101" i="19"/>
  <c r="J102" i="19"/>
  <c r="J103" i="19"/>
  <c r="J104" i="19"/>
  <c r="J105" i="19"/>
  <c r="J106" i="19"/>
  <c r="G109" i="17"/>
  <c r="K10" i="17"/>
  <c r="K11" i="17"/>
  <c r="K12" i="17"/>
  <c r="K13" i="17"/>
  <c r="K14" i="17"/>
  <c r="K15" i="17"/>
  <c r="K16" i="17"/>
  <c r="K17" i="17"/>
  <c r="K18" i="17"/>
  <c r="K19" i="17"/>
  <c r="K20" i="17"/>
  <c r="K21" i="17"/>
  <c r="K22" i="17"/>
  <c r="K23" i="17"/>
  <c r="K24" i="17"/>
  <c r="K25" i="17"/>
  <c r="K26" i="17"/>
  <c r="K27" i="17"/>
  <c r="K28" i="17"/>
  <c r="K29" i="17"/>
  <c r="K30" i="17"/>
  <c r="K31" i="17"/>
  <c r="K32" i="17"/>
  <c r="K33" i="17"/>
  <c r="K34" i="17"/>
  <c r="K35" i="17"/>
  <c r="K36" i="17"/>
  <c r="K37" i="17"/>
  <c r="K38" i="17"/>
  <c r="K39" i="17"/>
  <c r="K40" i="17"/>
  <c r="K41" i="17"/>
  <c r="K42" i="17"/>
  <c r="K43" i="17"/>
  <c r="K44" i="17"/>
  <c r="K45" i="17"/>
  <c r="K46" i="17"/>
  <c r="K47" i="17"/>
  <c r="K48" i="17"/>
  <c r="K49" i="17"/>
  <c r="K50" i="17"/>
  <c r="K51" i="17"/>
  <c r="K52" i="17"/>
  <c r="K53" i="17"/>
  <c r="K54" i="17"/>
  <c r="K55" i="17"/>
  <c r="K56" i="17"/>
  <c r="K57" i="17"/>
  <c r="K58" i="17"/>
  <c r="K59" i="17"/>
  <c r="K60" i="17"/>
  <c r="K61" i="17"/>
  <c r="K62" i="17"/>
  <c r="K63" i="17"/>
  <c r="K64" i="17"/>
  <c r="K65" i="17"/>
  <c r="K66" i="17"/>
  <c r="K67" i="17"/>
  <c r="K68" i="17"/>
  <c r="K69" i="17"/>
  <c r="K70" i="17"/>
  <c r="K71" i="17"/>
  <c r="K72" i="17"/>
  <c r="K73" i="17"/>
  <c r="K74" i="17"/>
  <c r="K75" i="17"/>
  <c r="K76" i="17"/>
  <c r="K77" i="17"/>
  <c r="K78" i="17"/>
  <c r="K79" i="17"/>
  <c r="K80" i="17"/>
  <c r="K81" i="17"/>
  <c r="K82" i="17"/>
  <c r="K83" i="17"/>
  <c r="K84" i="17"/>
  <c r="K85" i="17"/>
  <c r="K86" i="17"/>
  <c r="K87" i="17"/>
  <c r="K88" i="17"/>
  <c r="K89" i="17"/>
  <c r="K90" i="17"/>
  <c r="K91" i="17"/>
  <c r="K92" i="17"/>
  <c r="K93" i="17"/>
  <c r="K94" i="17"/>
  <c r="K95" i="17"/>
  <c r="K96" i="17"/>
  <c r="K97" i="17"/>
  <c r="K98" i="17"/>
  <c r="K99" i="17"/>
  <c r="K100" i="17"/>
  <c r="K101" i="17"/>
  <c r="K102" i="17"/>
  <c r="K103" i="17"/>
  <c r="K104" i="17"/>
  <c r="K105" i="17"/>
  <c r="K106" i="17"/>
  <c r="K107" i="17"/>
  <c r="K108" i="17"/>
  <c r="E108" i="15"/>
  <c r="I9" i="15"/>
  <c r="I10" i="15"/>
  <c r="I11" i="15"/>
  <c r="I12" i="15"/>
  <c r="I13" i="15"/>
  <c r="I14" i="15"/>
  <c r="I15" i="15"/>
  <c r="I16" i="15"/>
  <c r="I17" i="15"/>
  <c r="I18" i="15"/>
  <c r="I19" i="15"/>
  <c r="I20" i="15"/>
  <c r="I21" i="15"/>
  <c r="I22" i="15"/>
  <c r="I23" i="15"/>
  <c r="I24" i="15"/>
  <c r="I25" i="15"/>
  <c r="I26" i="15"/>
  <c r="I27" i="15"/>
  <c r="I28" i="15"/>
  <c r="I29" i="15"/>
  <c r="I30" i="15"/>
  <c r="I31" i="15"/>
  <c r="I32" i="15"/>
  <c r="I33" i="15"/>
  <c r="I34" i="15"/>
  <c r="I35" i="15"/>
  <c r="I36" i="15"/>
  <c r="I37" i="15"/>
  <c r="I38" i="15"/>
  <c r="I39" i="15"/>
  <c r="I40" i="15"/>
  <c r="I41" i="15"/>
  <c r="I42" i="15"/>
  <c r="I43" i="15"/>
  <c r="I44" i="15"/>
  <c r="I45" i="15"/>
  <c r="I46" i="15"/>
  <c r="I47" i="15"/>
  <c r="I48" i="15"/>
  <c r="I49" i="15"/>
  <c r="I50" i="15"/>
  <c r="I51" i="15"/>
  <c r="I52" i="15"/>
  <c r="I53" i="15"/>
  <c r="I54" i="15"/>
  <c r="I55" i="15"/>
  <c r="I56" i="15"/>
  <c r="I57" i="15"/>
  <c r="I58" i="15"/>
  <c r="I59" i="15"/>
  <c r="I60" i="15"/>
  <c r="I61" i="15"/>
  <c r="I62" i="15"/>
  <c r="I63" i="15"/>
  <c r="I64" i="15"/>
  <c r="I65" i="15"/>
  <c r="I66" i="15"/>
  <c r="I67" i="15"/>
  <c r="I68" i="15"/>
  <c r="I69" i="15"/>
  <c r="I70" i="15"/>
  <c r="I71" i="15"/>
  <c r="I72" i="15"/>
  <c r="I73" i="15"/>
  <c r="I74" i="15"/>
  <c r="I75" i="15"/>
  <c r="I76" i="15"/>
  <c r="I77" i="15"/>
  <c r="I78" i="15"/>
  <c r="I79" i="15"/>
  <c r="I80" i="15"/>
  <c r="I81" i="15"/>
  <c r="I82" i="15"/>
  <c r="I83" i="15"/>
  <c r="I84" i="15"/>
  <c r="I85" i="15"/>
  <c r="I86" i="15"/>
  <c r="I87" i="15"/>
  <c r="I88" i="15"/>
  <c r="I89" i="15"/>
  <c r="I90" i="15"/>
  <c r="I91" i="15"/>
  <c r="I92" i="15"/>
  <c r="I93" i="15"/>
  <c r="I94" i="15"/>
  <c r="I95" i="15"/>
  <c r="I96" i="15"/>
  <c r="I97" i="15"/>
  <c r="I98" i="15"/>
  <c r="I99" i="15"/>
  <c r="I100" i="15"/>
  <c r="I101" i="15"/>
  <c r="I102" i="15"/>
  <c r="I103" i="15"/>
  <c r="I104" i="15"/>
  <c r="I105" i="15"/>
  <c r="I106" i="15"/>
  <c r="I107" i="15"/>
  <c r="G10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G108" i="13"/>
  <c r="K9" i="13"/>
  <c r="K10" i="13"/>
  <c r="K11" i="13"/>
  <c r="K12" i="13"/>
  <c r="K13" i="13"/>
  <c r="K14" i="13"/>
  <c r="K15" i="13"/>
  <c r="K16" i="13"/>
  <c r="K17" i="13"/>
  <c r="K18" i="13"/>
  <c r="K19" i="13"/>
  <c r="K20" i="13"/>
  <c r="K21" i="13"/>
  <c r="K22" i="13"/>
  <c r="K23" i="13"/>
  <c r="K24" i="13"/>
  <c r="K25" i="13"/>
  <c r="K26" i="13"/>
  <c r="K27" i="13"/>
  <c r="K28" i="13"/>
  <c r="K29" i="13"/>
  <c r="K30" i="13"/>
  <c r="K31" i="13"/>
  <c r="K32" i="13"/>
  <c r="K33" i="13"/>
  <c r="K34" i="13"/>
  <c r="K35" i="13"/>
  <c r="K36" i="13"/>
  <c r="K37" i="13"/>
  <c r="K38" i="13"/>
  <c r="K39" i="13"/>
  <c r="K40" i="13"/>
  <c r="K41" i="13"/>
  <c r="K42" i="13"/>
  <c r="K43" i="13"/>
  <c r="K44" i="13"/>
  <c r="K45" i="13"/>
  <c r="K46" i="13"/>
  <c r="K47" i="13"/>
  <c r="K48" i="13"/>
  <c r="K49" i="13"/>
  <c r="K50" i="13"/>
  <c r="K51" i="13"/>
  <c r="K52" i="13"/>
  <c r="K53" i="13"/>
  <c r="K54" i="13"/>
  <c r="K55" i="13"/>
  <c r="K56" i="13"/>
  <c r="K57" i="13"/>
  <c r="K58" i="13"/>
  <c r="K59" i="13"/>
  <c r="K60" i="13"/>
  <c r="K61" i="13"/>
  <c r="K62" i="13"/>
  <c r="K63" i="13"/>
  <c r="K64" i="13"/>
  <c r="K65" i="13"/>
  <c r="K66" i="13"/>
  <c r="K67" i="13"/>
  <c r="K68" i="13"/>
  <c r="K69" i="13"/>
  <c r="K70" i="13"/>
  <c r="K71" i="13"/>
  <c r="K72" i="13"/>
  <c r="K73" i="13"/>
  <c r="K74" i="13"/>
  <c r="K75" i="13"/>
  <c r="K76" i="13"/>
  <c r="K77" i="13"/>
  <c r="K78" i="13"/>
  <c r="K79" i="13"/>
  <c r="K80" i="13"/>
  <c r="K81" i="13"/>
  <c r="K82" i="13"/>
  <c r="K83" i="13"/>
  <c r="K84" i="13"/>
  <c r="K85" i="13"/>
  <c r="K86" i="13"/>
  <c r="K87" i="13"/>
  <c r="K88" i="13"/>
  <c r="K89" i="13"/>
  <c r="K90" i="13"/>
  <c r="K91" i="13"/>
  <c r="K92" i="13"/>
  <c r="K93" i="13"/>
  <c r="K94" i="13"/>
  <c r="K95" i="13"/>
  <c r="K96" i="13"/>
  <c r="K97" i="13"/>
  <c r="K98" i="13"/>
  <c r="K99" i="13"/>
  <c r="K100" i="13"/>
  <c r="K101" i="13"/>
  <c r="K102" i="13"/>
  <c r="K103" i="13"/>
  <c r="K104" i="13"/>
  <c r="K105" i="13"/>
  <c r="K106" i="13"/>
  <c r="K107" i="13"/>
  <c r="G110" i="12"/>
  <c r="K11" i="12"/>
  <c r="K12" i="12"/>
  <c r="K13" i="12"/>
  <c r="K14" i="12"/>
  <c r="K15" i="12"/>
  <c r="K16" i="12"/>
  <c r="K17" i="12"/>
  <c r="K18" i="12"/>
  <c r="K19" i="12"/>
  <c r="K20" i="12"/>
  <c r="K21" i="12"/>
  <c r="K22" i="12"/>
  <c r="K23" i="12"/>
  <c r="K24" i="12"/>
  <c r="K25" i="12"/>
  <c r="K26" i="12"/>
  <c r="K27" i="12"/>
  <c r="K28" i="12"/>
  <c r="K29" i="12"/>
  <c r="K30" i="12"/>
  <c r="K31" i="12"/>
  <c r="K32" i="12"/>
  <c r="K33" i="12"/>
  <c r="K34" i="12"/>
  <c r="K35" i="12"/>
  <c r="K36" i="12"/>
  <c r="K37" i="12"/>
  <c r="K38" i="12"/>
  <c r="K39" i="12"/>
  <c r="K40" i="12"/>
  <c r="K41" i="12"/>
  <c r="K42" i="12"/>
  <c r="K43" i="12"/>
  <c r="K44" i="12"/>
  <c r="K45" i="12"/>
  <c r="K46" i="12"/>
  <c r="K47" i="12"/>
  <c r="K48" i="12"/>
  <c r="K49" i="12"/>
  <c r="K50" i="12"/>
  <c r="K51" i="12"/>
  <c r="K52" i="12"/>
  <c r="K53" i="12"/>
  <c r="K54" i="12"/>
  <c r="K55" i="12"/>
  <c r="K56" i="12"/>
  <c r="K57" i="12"/>
  <c r="K58" i="12"/>
  <c r="K59" i="12"/>
  <c r="K60" i="12"/>
  <c r="K61" i="12"/>
  <c r="K62" i="12"/>
  <c r="K63" i="12"/>
  <c r="K64" i="12"/>
  <c r="K65" i="12"/>
  <c r="K66" i="12"/>
  <c r="K67" i="12"/>
  <c r="K68" i="12"/>
  <c r="K69" i="12"/>
  <c r="K70" i="12"/>
  <c r="K71" i="12"/>
  <c r="K72" i="12"/>
  <c r="K73" i="12"/>
  <c r="K74" i="12"/>
  <c r="K75" i="12"/>
  <c r="K76" i="12"/>
  <c r="K77" i="12"/>
  <c r="K78" i="12"/>
  <c r="K79" i="12"/>
  <c r="K80" i="12"/>
  <c r="K81" i="12"/>
  <c r="K82" i="12"/>
  <c r="K83" i="12"/>
  <c r="K84" i="12"/>
  <c r="K85" i="12"/>
  <c r="K86" i="12"/>
  <c r="K87" i="12"/>
  <c r="K88" i="12"/>
  <c r="K89" i="12"/>
  <c r="K90" i="12"/>
  <c r="K91" i="12"/>
  <c r="K92" i="12"/>
  <c r="K93" i="12"/>
  <c r="K94" i="12"/>
  <c r="K95" i="12"/>
  <c r="K96" i="12"/>
  <c r="K97" i="12"/>
  <c r="K98" i="12"/>
  <c r="K99" i="12"/>
  <c r="K100" i="12"/>
  <c r="K101" i="12"/>
  <c r="K102" i="12"/>
  <c r="K103" i="12"/>
  <c r="K104" i="12"/>
  <c r="K105" i="12"/>
  <c r="K106" i="12"/>
  <c r="K107" i="12"/>
  <c r="K108" i="12"/>
  <c r="K109" i="12"/>
  <c r="J8" i="11"/>
  <c r="J9" i="11"/>
  <c r="J10" i="11"/>
  <c r="J11" i="11"/>
  <c r="J12" i="11"/>
  <c r="J13" i="11"/>
  <c r="J14" i="11"/>
  <c r="J15" i="11"/>
  <c r="J16" i="11"/>
  <c r="J17" i="11"/>
  <c r="J18" i="11"/>
  <c r="J19" i="11"/>
  <c r="J20" i="11"/>
  <c r="J21" i="11"/>
  <c r="J22" i="11"/>
  <c r="J23" i="11"/>
  <c r="J24" i="11"/>
  <c r="J25" i="11"/>
  <c r="J26" i="11"/>
  <c r="J27" i="11"/>
  <c r="J28" i="11"/>
  <c r="J29" i="11"/>
  <c r="J30" i="11"/>
  <c r="J31" i="11"/>
  <c r="J32" i="11"/>
  <c r="J33" i="11"/>
  <c r="J34" i="11"/>
  <c r="J35" i="11"/>
  <c r="J36" i="11"/>
  <c r="J37" i="11"/>
  <c r="J38" i="11"/>
  <c r="J39" i="11"/>
  <c r="J40" i="11"/>
  <c r="J41" i="11"/>
  <c r="J42" i="11"/>
  <c r="J43" i="11"/>
  <c r="J44" i="11"/>
  <c r="J45" i="11"/>
  <c r="J46" i="11"/>
  <c r="J47" i="11"/>
  <c r="J48" i="11"/>
  <c r="J49" i="11"/>
  <c r="J50" i="11"/>
  <c r="J51" i="11"/>
  <c r="J52" i="11"/>
  <c r="J53" i="11"/>
  <c r="J54" i="11"/>
  <c r="J55" i="11"/>
  <c r="J56" i="11"/>
  <c r="J57" i="11"/>
  <c r="J58" i="11"/>
  <c r="J59" i="11"/>
  <c r="J60" i="11"/>
  <c r="J61" i="11"/>
  <c r="J62" i="11"/>
  <c r="J63" i="11"/>
  <c r="J64" i="11"/>
  <c r="J65" i="11"/>
  <c r="J66" i="11"/>
  <c r="J67" i="11"/>
  <c r="J68" i="11"/>
  <c r="J69" i="11"/>
  <c r="J70" i="11"/>
  <c r="J71" i="11"/>
  <c r="J72" i="11"/>
  <c r="J73" i="11"/>
  <c r="J74" i="11"/>
  <c r="J75" i="11"/>
  <c r="J76" i="11"/>
  <c r="J77" i="11"/>
  <c r="J78" i="11"/>
  <c r="J79" i="11"/>
  <c r="J80" i="11"/>
  <c r="J81" i="11"/>
  <c r="J82" i="11"/>
  <c r="J83" i="11"/>
  <c r="J84" i="11"/>
  <c r="J85" i="11"/>
  <c r="J86" i="11"/>
  <c r="J87" i="11"/>
  <c r="J88" i="11"/>
  <c r="J89" i="11"/>
  <c r="J90" i="11"/>
  <c r="P29" i="7"/>
  <c r="P28" i="7"/>
  <c r="L29" i="7"/>
  <c r="L28" i="7"/>
  <c r="P27" i="7"/>
  <c r="P9" i="7"/>
  <c r="P10" i="7"/>
  <c r="P11" i="7"/>
  <c r="P12" i="7"/>
  <c r="P13" i="7"/>
  <c r="P14" i="7"/>
  <c r="P15" i="7"/>
  <c r="P16" i="7"/>
  <c r="P17" i="7"/>
  <c r="P18" i="7"/>
  <c r="P19" i="7"/>
  <c r="P20" i="7"/>
  <c r="P21" i="7"/>
  <c r="P22" i="7"/>
  <c r="P23" i="7"/>
  <c r="P24" i="7"/>
  <c r="P25" i="7"/>
  <c r="P26" i="7"/>
  <c r="P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24" i="7"/>
  <c r="L25" i="7"/>
  <c r="L26" i="7"/>
  <c r="L8" i="7"/>
  <c r="L27" i="7" s="1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2" i="3"/>
  <c r="L10" i="10" l="1"/>
  <c r="L9" i="10"/>
  <c r="L17" i="10"/>
  <c r="L15" i="10"/>
  <c r="L11" i="10"/>
  <c r="L12" i="10"/>
  <c r="O1048564" i="10"/>
  <c r="L111" i="20"/>
  <c r="J107" i="19"/>
  <c r="K109" i="17"/>
  <c r="I108" i="15"/>
  <c r="K107" i="14"/>
  <c r="K108" i="13"/>
  <c r="K110" i="12"/>
  <c r="J91" i="11"/>
</calcChain>
</file>

<file path=xl/sharedStrings.xml><?xml version="1.0" encoding="utf-8"?>
<sst xmlns="http://schemas.openxmlformats.org/spreadsheetml/2006/main" count="2040" uniqueCount="303">
  <si>
    <t>Name</t>
  </si>
  <si>
    <t>eval/loss</t>
  </si>
  <si>
    <t>n_params</t>
  </si>
  <si>
    <t>num_experts</t>
  </si>
  <si>
    <t>num_active_experts</t>
  </si>
  <si>
    <t>num_shared_experts</t>
  </si>
  <si>
    <t>train/global_step</t>
  </si>
  <si>
    <t>Runtime</t>
  </si>
  <si>
    <t>train/loss</t>
  </si>
  <si>
    <t>00_llama2_ref-0119</t>
  </si>
  <si>
    <t>137M</t>
  </si>
  <si>
    <t>01_moedl_dense-0119</t>
  </si>
  <si>
    <t>a0_moedl_no_lb-0119</t>
  </si>
  <si>
    <t>402M</t>
  </si>
  <si>
    <t>a1_moedl_lb_penalty-0119</t>
  </si>
  <si>
    <t>a2_moedl_lb_biasing-0119</t>
  </si>
  <si>
    <t>b1_moedl_e2_k1-0119</t>
  </si>
  <si>
    <t>175M</t>
  </si>
  <si>
    <t>b20_moedl_e4_k1_4ep-0119</t>
  </si>
  <si>
    <t>251M</t>
  </si>
  <si>
    <t>b2_moedl_e4_k1-0119</t>
  </si>
  <si>
    <t>b3_moedl_e8_k1-0119</t>
  </si>
  <si>
    <t>b4_moedl_e16_k1-0119</t>
  </si>
  <si>
    <t>704M</t>
  </si>
  <si>
    <t>c1_moedl_e8_k1-0119</t>
  </si>
  <si>
    <t>c2_moedl_e16_k2-0119</t>
  </si>
  <si>
    <t>c3_moedl_e32_k4-0119</t>
  </si>
  <si>
    <t>c4_moedl_e64_k8-0119</t>
  </si>
  <si>
    <t>d1_moedl_s0_k4_e32-0119</t>
  </si>
  <si>
    <t>d2_moedl_s1_k3_e31-0119</t>
  </si>
  <si>
    <t>d3_moedl_s2_k2_e30-0119</t>
  </si>
  <si>
    <t>d4_moedl_s3_k1_e29-0119</t>
  </si>
  <si>
    <t>e1_moedl_cf_1.0-0119</t>
  </si>
  <si>
    <t>e2_moedl_cf_1.5-0119</t>
  </si>
  <si>
    <t>e3_moedl_cf_2.0-0119</t>
  </si>
  <si>
    <t>e4_moedl_cf_2.5-0119</t>
  </si>
  <si>
    <t>a0_moedl_no_lb-0213</t>
  </si>
  <si>
    <t>a1_moedl_lb_penalty-0213</t>
  </si>
  <si>
    <t>a2_moedl_lb_biasing-0213</t>
  </si>
  <si>
    <t>b1_moedl_e2_k1-0213</t>
  </si>
  <si>
    <t>b2_moedl_e4_k1-0213</t>
  </si>
  <si>
    <t>b3_moedl_e8_k1-0213</t>
  </si>
  <si>
    <t>b4_moedl_e16_k1-0213</t>
  </si>
  <si>
    <t>c1_moedl_e8_k1-0213</t>
  </si>
  <si>
    <t>c2_moedl_e16_k2-0213</t>
  </si>
  <si>
    <t>c3_moedl_e32_k4-0213</t>
  </si>
  <si>
    <t>c4_moedl_e64_k8-0213</t>
  </si>
  <si>
    <t>d1_moedl_s0_k4_e32-0213</t>
  </si>
  <si>
    <t>d2_moedl_s1_k3_e31-0213</t>
  </si>
  <si>
    <t>d3_moedl_s2_k2_e30-0213</t>
  </si>
  <si>
    <t>d4_moedl_s3_k1_e29-0213</t>
  </si>
  <si>
    <t>e1_moedl_cf_1.0-0213</t>
  </si>
  <si>
    <t>e2_moedl_cf_1.5-0213</t>
  </si>
  <si>
    <t>e3_moedl_cf_2.0-0213</t>
  </si>
  <si>
    <t>e4_moedl_cf_2.5-0213</t>
  </si>
  <si>
    <t>00_llama2_ref</t>
  </si>
  <si>
    <t>01_moedl_dense</t>
  </si>
  <si>
    <t>a0_moedl_no_lb</t>
  </si>
  <si>
    <t>a1_moedl_lb_penalty</t>
  </si>
  <si>
    <t>a2_moedl_lb_biasing</t>
  </si>
  <si>
    <t>b1_moedl_e2_k1</t>
  </si>
  <si>
    <t>b2_moedl_e4_k1</t>
  </si>
  <si>
    <t>b3_moedl_e8_k1</t>
  </si>
  <si>
    <t>b4_moedl_e16_k1</t>
  </si>
  <si>
    <t>c1_moedl_e8_k1</t>
  </si>
  <si>
    <t>c2_moedl_e16_k2</t>
  </si>
  <si>
    <t>c3_moedl_e32_k4</t>
  </si>
  <si>
    <t>c4_moedl_e64_k8</t>
  </si>
  <si>
    <t>d1_moedl_s0_k4_e32</t>
  </si>
  <si>
    <t>d2_moedl_s1_k3_e31</t>
  </si>
  <si>
    <t>d3_moedl_s2_k2_e30</t>
  </si>
  <si>
    <t>d4_moedl_s3_k1_e29</t>
  </si>
  <si>
    <t>e1_moedl_cf_1.0</t>
  </si>
  <si>
    <t>e2_moedl_cf_1.5</t>
  </si>
  <si>
    <t>e3_moedl_cf_2.0</t>
  </si>
  <si>
    <t>e4_moedl_cf_2.5</t>
  </si>
  <si>
    <t>runtime (hr)</t>
  </si>
  <si>
    <t>runset</t>
  </si>
  <si>
    <t>Row Labels</t>
  </si>
  <si>
    <t>Grand Total</t>
  </si>
  <si>
    <t>Column Labels</t>
  </si>
  <si>
    <t>Sum of runtime (hr)</t>
  </si>
  <si>
    <t>01_moedl_dense-0716</t>
  </si>
  <si>
    <t>a0_moedl_no_lb-0716</t>
  </si>
  <si>
    <t>a1_moedl_lb_penalty-0716</t>
  </si>
  <si>
    <t>a2_moedl_lb_biasing-0716</t>
  </si>
  <si>
    <t>b1_moedl_e2_k1-0716</t>
  </si>
  <si>
    <t>b2_moedl_e4_k1-0716</t>
  </si>
  <si>
    <t>b3_moedl_e8_k1-0716</t>
  </si>
  <si>
    <t>b4_moedl_e16_k1-0716</t>
  </si>
  <si>
    <t>c1_moedl_e8_k1-0716</t>
  </si>
  <si>
    <t>c2_moedl_e16_k2-0716</t>
  </si>
  <si>
    <t>c3_moedl_e32_k4-0716</t>
  </si>
  <si>
    <t>c4_moedl_e64_k8-0716</t>
  </si>
  <si>
    <t>d1_moedl_s0_k4_e32-0716</t>
  </si>
  <si>
    <t>d2_moedl_s1_k3_e31-0716</t>
  </si>
  <si>
    <t>d3_moedl_s2_k2_e30-0716</t>
  </si>
  <si>
    <t>d4_moedl_s3_k1_e29-0716</t>
  </si>
  <si>
    <t>e1_moedl_cf_1.0-0716</t>
  </si>
  <si>
    <t>e2_moedl_cf_1.5-0716</t>
  </si>
  <si>
    <t>e3_moedl_cf_2.0-0716</t>
  </si>
  <si>
    <t>e4_moedl_cf_2.5-0716</t>
  </si>
  <si>
    <t>on_0119</t>
  </si>
  <si>
    <t>on_0213</t>
  </si>
  <si>
    <t>on_0716</t>
  </si>
  <si>
    <t>E</t>
  </si>
  <si>
    <t>K</t>
  </si>
  <si>
    <t>S</t>
  </si>
  <si>
    <t>run_0119</t>
  </si>
  <si>
    <t>run_0716</t>
  </si>
  <si>
    <t>Faster by</t>
  </si>
  <si>
    <t>change</t>
  </si>
  <si>
    <t>exp_id</t>
  </si>
  <si>
    <t>runtime in hrs</t>
  </si>
  <si>
    <t>mean</t>
  </si>
  <si>
    <t>max</t>
  </si>
  <si>
    <t>min</t>
  </si>
  <si>
    <t>eval loss</t>
  </si>
  <si>
    <t>expert compute by looping over experts with torch.mm</t>
  </si>
  <si>
    <t>expert compute by F.grouped_mm (autograded)</t>
  </si>
  <si>
    <t>l2_latentmoe_alpha2_e16_k2</t>
  </si>
  <si>
    <t>l3acc_latentmoe_alpha3_e48_k6</t>
  </si>
  <si>
    <t>l3eff_latentmoe_alpha3_e48_k2</t>
  </si>
  <si>
    <t>l3_latentmoe_alpha3_e16_k2</t>
  </si>
  <si>
    <t>l4_latentmoe_alpha4_e16_k2</t>
  </si>
  <si>
    <t>l6_latentmoe_alpha6_e16_k2</t>
  </si>
  <si>
    <t>l</t>
  </si>
  <si>
    <t>α</t>
  </si>
  <si>
    <t>eval_loss</t>
  </si>
  <si>
    <t>255M</t>
  </si>
  <si>
    <t>177M</t>
  </si>
  <si>
    <t>151M</t>
  </si>
  <si>
    <t>eCk</t>
  </si>
  <si>
    <t>d_runtime</t>
  </si>
  <si>
    <t>d_loss</t>
  </si>
  <si>
    <t>203M</t>
  </si>
  <si>
    <t>l3bal_latentmoe_alpha3_e48_k6</t>
  </si>
  <si>
    <t>d_runtime/d_loss</t>
  </si>
  <si>
    <t># Count</t>
  </si>
  <si>
    <t>Param Name</t>
  </si>
  <si>
    <t>Shape</t>
  </si>
  <si>
    <t>model.embed_tokens.weight</t>
  </si>
  <si>
    <t>[32000, 768]</t>
  </si>
  <si>
    <t>model.layers.0.norm_attn.weight</t>
  </si>
  <si>
    <t>[768]</t>
  </si>
  <si>
    <t>model.layers.0.attn.q.weight</t>
  </si>
  <si>
    <t>[2048, 768]</t>
  </si>
  <si>
    <t>model.layers.0.attn.k.weight</t>
  </si>
  <si>
    <t>model.layers.0.attn.v.weight</t>
  </si>
  <si>
    <t>model.layers.0.attn.o.weight</t>
  </si>
  <si>
    <t>[768, 2048]</t>
  </si>
  <si>
    <t>model.layers.0.norm_mlp.weight</t>
  </si>
  <si>
    <t>model.layers.0.moe.router.weight</t>
  </si>
  <si>
    <t>[16, 768]</t>
  </si>
  <si>
    <t>model.layers.0.moe.experts.weight_up</t>
  </si>
  <si>
    <t>[16, 1024, 768]</t>
  </si>
  <si>
    <t>model.layers.0.moe.experts.weight_gate</t>
  </si>
  <si>
    <t>model.layers.0.moe.experts.weight_down</t>
  </si>
  <si>
    <t>[16, 768, 1024]</t>
  </si>
  <si>
    <t>model.layers.1.norm_attn.weight</t>
  </si>
  <si>
    <t>model.layers.1.attn.q.weight</t>
  </si>
  <si>
    <t>model.layers.1.attn.k.weight</t>
  </si>
  <si>
    <t>model.layers.1.attn.v.weight</t>
  </si>
  <si>
    <t>model.layers.1.attn.o.weight</t>
  </si>
  <si>
    <t>model.layers.1.norm_mlp.weight</t>
  </si>
  <si>
    <t>model.layers.1.moe.router.weight</t>
  </si>
  <si>
    <t>model.layers.1.moe.experts.weight_up</t>
  </si>
  <si>
    <t>model.layers.1.moe.experts.weight_gate</t>
  </si>
  <si>
    <t>model.layers.1.moe.experts.weight_down</t>
  </si>
  <si>
    <t>model.layers.2.norm_attn.weight</t>
  </si>
  <si>
    <t>model.layers.2.attn.q.weight</t>
  </si>
  <si>
    <t>model.layers.2.attn.k.weight</t>
  </si>
  <si>
    <t>model.layers.2.attn.v.weight</t>
  </si>
  <si>
    <t>model.layers.2.attn.o.weight</t>
  </si>
  <si>
    <t>model.layers.2.norm_mlp.weight</t>
  </si>
  <si>
    <t>model.layers.2.moe.router.weight</t>
  </si>
  <si>
    <t>model.layers.2.moe.experts.weight_up</t>
  </si>
  <si>
    <t>model.layers.2.moe.experts.weight_gate</t>
  </si>
  <si>
    <t>model.layers.2.moe.experts.weight_down</t>
  </si>
  <si>
    <t>model.layers.3.norm_attn.weight</t>
  </si>
  <si>
    <t>model.layers.3.attn.q.weight</t>
  </si>
  <si>
    <t>model.layers.3.attn.k.weight</t>
  </si>
  <si>
    <t>model.layers.3.attn.v.weight</t>
  </si>
  <si>
    <t>model.layers.3.attn.o.weight</t>
  </si>
  <si>
    <t>model.layers.3.norm_mlp.weight</t>
  </si>
  <si>
    <t>model.layers.3.moe.router.weight</t>
  </si>
  <si>
    <t>model.layers.3.moe.experts.weight_up</t>
  </si>
  <si>
    <t>model.layers.3.moe.experts.weight_gate</t>
  </si>
  <si>
    <t>model.layers.3.moe.experts.weight_down</t>
  </si>
  <si>
    <t>model.layers.4.norm_attn.weight</t>
  </si>
  <si>
    <t>model.layers.4.attn.q.weight</t>
  </si>
  <si>
    <t>model.layers.4.attn.k.weight</t>
  </si>
  <si>
    <t>model.layers.4.attn.v.weight</t>
  </si>
  <si>
    <t>model.layers.4.attn.o.weight</t>
  </si>
  <si>
    <t>model.layers.4.norm_mlp.weight</t>
  </si>
  <si>
    <t>model.layers.4.moe.router.weight</t>
  </si>
  <si>
    <t>model.layers.4.moe.experts.weight_up</t>
  </si>
  <si>
    <t>model.layers.4.moe.experts.weight_gate</t>
  </si>
  <si>
    <t>model.layers.4.moe.experts.weight_down</t>
  </si>
  <si>
    <t>model.layers.5.norm_attn.weight</t>
  </si>
  <si>
    <t>model.layers.5.attn.q.weight</t>
  </si>
  <si>
    <t>model.layers.5.attn.k.weight</t>
  </si>
  <si>
    <t>model.layers.5.attn.v.weight</t>
  </si>
  <si>
    <t>model.layers.5.attn.o.weight</t>
  </si>
  <si>
    <t>model.layers.5.norm_mlp.weight</t>
  </si>
  <si>
    <t>model.layers.5.moe.router.weight</t>
  </si>
  <si>
    <t>model.layers.5.moe.experts.weight_up</t>
  </si>
  <si>
    <t>model.layers.5.moe.experts.weight_gate</t>
  </si>
  <si>
    <t>model.layers.5.moe.experts.weight_down</t>
  </si>
  <si>
    <t>model.layers.6.norm_attn.weight</t>
  </si>
  <si>
    <t>model.layers.6.attn.q.weight</t>
  </si>
  <si>
    <t>model.layers.6.attn.k.weight</t>
  </si>
  <si>
    <t>model.layers.6.attn.v.weight</t>
  </si>
  <si>
    <t>model.layers.6.attn.o.weight</t>
  </si>
  <si>
    <t>model.layers.6.norm_mlp.weight</t>
  </si>
  <si>
    <t>model.layers.6.moe.router.weight</t>
  </si>
  <si>
    <t>model.layers.6.moe.experts.weight_up</t>
  </si>
  <si>
    <t>model.layers.6.moe.experts.weight_gate</t>
  </si>
  <si>
    <t>model.layers.6.moe.experts.weight_down</t>
  </si>
  <si>
    <t>model.layers.7.norm_attn.weight</t>
  </si>
  <si>
    <t>model.layers.7.attn.q.weight</t>
  </si>
  <si>
    <t>model.layers.7.attn.k.weight</t>
  </si>
  <si>
    <t>model.layers.7.attn.v.weight</t>
  </si>
  <si>
    <t>model.layers.7.attn.o.weight</t>
  </si>
  <si>
    <t>model.layers.7.norm_mlp.weight</t>
  </si>
  <si>
    <t>model.layers.7.moe.router.weight</t>
  </si>
  <si>
    <t>model.layers.7.moe.experts.weight_up</t>
  </si>
  <si>
    <t>model.layers.7.moe.experts.weight_gate</t>
  </si>
  <si>
    <t>model.layers.7.moe.experts.weight_down</t>
  </si>
  <si>
    <t>model.norm.weight</t>
  </si>
  <si>
    <t>lm_head.weight</t>
  </si>
  <si>
    <t>Total (402 M)</t>
  </si>
  <si>
    <t>Activated</t>
  </si>
  <si>
    <t>activated ratio</t>
  </si>
  <si>
    <t>Activated ratio</t>
  </si>
  <si>
    <t>activated</t>
  </si>
  <si>
    <t>model.layers.0.moe.latent_down.weight</t>
  </si>
  <si>
    <t>[384, 768]</t>
  </si>
  <si>
    <t>[16, 1024, 384]</t>
  </si>
  <si>
    <t>[16, 384, 1024]</t>
  </si>
  <si>
    <t>model.layers.0.moe.latent_up.weight</t>
  </si>
  <si>
    <t>[768, 384]</t>
  </si>
  <si>
    <t>model.layers.1.moe.latent_down.weight</t>
  </si>
  <si>
    <t>model.layers.1.moe.latent_up.weight</t>
  </si>
  <si>
    <t>model.layers.2.moe.latent_down.weight</t>
  </si>
  <si>
    <t>model.layers.2.moe.latent_up.weight</t>
  </si>
  <si>
    <t>model.layers.3.moe.latent_down.weight</t>
  </si>
  <si>
    <t>model.layers.3.moe.latent_up.weight</t>
  </si>
  <si>
    <t>model.layers.4.moe.latent_down.weight</t>
  </si>
  <si>
    <t>model.layers.4.moe.latent_up.weight</t>
  </si>
  <si>
    <t>model.layers.5.moe.latent_down.weight</t>
  </si>
  <si>
    <t>model.layers.5.moe.latent_up.weight</t>
  </si>
  <si>
    <t>model.layers.6.moe.latent_down.weight</t>
  </si>
  <si>
    <t>model.layers.6.moe.latent_up.weight</t>
  </si>
  <si>
    <t>model.layers.7.moe.latent_down.weight</t>
  </si>
  <si>
    <t>model.layers.7.moe.latent_up.weight</t>
  </si>
  <si>
    <t>E=16</t>
  </si>
  <si>
    <t>K=2</t>
  </si>
  <si>
    <t>alpha=2</t>
  </si>
  <si>
    <t>alpha=1</t>
  </si>
  <si>
    <t>123M</t>
  </si>
  <si>
    <t>141M</t>
  </si>
  <si>
    <t>no latent compression</t>
  </si>
  <si>
    <t>latent param</t>
  </si>
  <si>
    <t>[256, 768]</t>
  </si>
  <si>
    <t>[16, 1024, 256]</t>
  </si>
  <si>
    <t>[16, 256, 1024]</t>
  </si>
  <si>
    <t>[768, 256]</t>
  </si>
  <si>
    <t>alpha=3</t>
  </si>
  <si>
    <t>latent params</t>
  </si>
  <si>
    <t>115M</t>
  </si>
  <si>
    <t>[192, 768]</t>
  </si>
  <si>
    <t>[16, 1024, 192]</t>
  </si>
  <si>
    <t>[16, 192, 1024]</t>
  </si>
  <si>
    <t>[768, 192]</t>
  </si>
  <si>
    <t>alpha=4</t>
  </si>
  <si>
    <t>111M</t>
  </si>
  <si>
    <t>[128, 768]</t>
  </si>
  <si>
    <t>[16, 1024, 128]</t>
  </si>
  <si>
    <t>[16, 128, 1024]</t>
  </si>
  <si>
    <t>[768, 128]</t>
  </si>
  <si>
    <t>alpha=6</t>
  </si>
  <si>
    <t>107M</t>
  </si>
  <si>
    <t>4.7M</t>
  </si>
  <si>
    <t>3.1M</t>
  </si>
  <si>
    <t>1.6M</t>
  </si>
  <si>
    <t>-</t>
  </si>
  <si>
    <t>2.4M</t>
  </si>
  <si>
    <t>"</t>
  </si>
  <si>
    <t>d</t>
  </si>
  <si>
    <t>[48, 768]</t>
  </si>
  <si>
    <t>[48, 1024, 256]</t>
  </si>
  <si>
    <t>[48, 256, 1024]</t>
  </si>
  <si>
    <t>E=48</t>
  </si>
  <si>
    <t>116M</t>
  </si>
  <si>
    <t>K=6</t>
  </si>
  <si>
    <t>140M</t>
  </si>
  <si>
    <t>#params</t>
  </si>
  <si>
    <t>#activated</t>
  </si>
  <si>
    <t>latent #params</t>
  </si>
  <si>
    <t>make exp_id</t>
  </si>
  <si>
    <r>
      <t xml:space="preserve">l1_latentmoe_alpha1_e16_k2 </t>
    </r>
    <r>
      <rPr>
        <b/>
        <sz val="12"/>
        <color theme="1"/>
        <rFont val="Aptos Narrow"/>
        <family val="2"/>
        <scheme val="minor"/>
      </rPr>
      <t>(baseline)</t>
    </r>
  </si>
  <si>
    <t>param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</si>
</sst>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000"/>
    <numFmt numFmtId="165" formatCode="0.0"/>
    <numFmt numFmtId="166" formatCode="0.000000"/>
    <numFmt numFmtId="167" formatCode="_(* #,##0_);_(* \(#,##0\);_(* &quot;-&quot;??_);_(@_)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1"/>
      <name val="Aptos Display"/>
      <family val="2"/>
      <scheme val="major"/>
    </font>
    <font>
      <b/>
      <sz val="12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2"/>
      <color rgb="FF00990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rgb="FF0000FF"/>
      <name val="Aptos Narrow"/>
      <family val="2"/>
      <scheme val="minor"/>
    </font>
    <font>
      <sz val="12"/>
      <color rgb="FFFF1493"/>
      <name val="Aptos Narrow"/>
      <family val="2"/>
      <scheme val="minor"/>
    </font>
    <font>
      <sz val="12"/>
      <color rgb="FF00B050"/>
      <name val="Aptos Narrow"/>
      <family val="2"/>
      <scheme val="minor"/>
    </font>
    <font>
      <sz val="12"/>
      <color rgb="FFEEB500"/>
      <name val="Aptos Narrow"/>
      <family val="2"/>
      <scheme val="minor"/>
    </font>
    <font>
      <sz val="12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1493"/>
        <bgColor indexed="64"/>
      </patternFill>
    </fill>
  </fills>
  <borders count="2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rgb="FFB2B2B2"/>
      </bottom>
      <diagonal/>
    </border>
    <border>
      <left style="medium">
        <color indexed="64"/>
      </left>
      <right style="thin">
        <color rgb="FFB2B2B2"/>
      </right>
      <top/>
      <bottom style="thin">
        <color rgb="FFB2B2B2"/>
      </bottom>
      <diagonal/>
    </border>
    <border>
      <left style="thin">
        <color rgb="FFB2B2B2"/>
      </left>
      <right style="medium">
        <color indexed="64"/>
      </right>
      <top/>
      <bottom style="thin">
        <color rgb="FFB2B2B2"/>
      </bottom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>
      <left/>
      <right style="thin">
        <color rgb="FFB2B2B2"/>
      </right>
      <top/>
      <bottom style="thin">
        <color rgb="FFB2B2B2"/>
      </bottom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  <xf numFmtId="0" fontId="1" fillId="6" borderId="12" applyNumberFormat="0" applyFont="0" applyAlignment="0" applyProtection="0"/>
  </cellStyleXfs>
  <cellXfs count="134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right" vertical="center"/>
    </xf>
    <xf numFmtId="164" fontId="0" fillId="0" borderId="0" xfId="0" applyNumberFormat="1" applyAlignment="1">
      <alignment vertical="center"/>
    </xf>
    <xf numFmtId="0" fontId="0" fillId="0" borderId="0" xfId="0" pivotButton="1"/>
    <xf numFmtId="0" fontId="0" fillId="0" borderId="0" xfId="0" applyAlignment="1">
      <alignment horizontal="left"/>
    </xf>
    <xf numFmtId="165" fontId="0" fillId="0" borderId="0" xfId="0" applyNumberFormat="1"/>
    <xf numFmtId="164" fontId="0" fillId="0" borderId="0" xfId="0" applyNumberFormat="1"/>
    <xf numFmtId="2" fontId="0" fillId="0" borderId="0" xfId="0" applyNumberFormat="1" applyAlignment="1">
      <alignment vertical="center"/>
    </xf>
    <xf numFmtId="2" fontId="0" fillId="0" borderId="0" xfId="0" applyNumberFormat="1"/>
    <xf numFmtId="166" fontId="0" fillId="0" borderId="0" xfId="0" applyNumberForma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vertical="center"/>
    </xf>
    <xf numFmtId="10" fontId="0" fillId="0" borderId="0" xfId="0" applyNumberFormat="1" applyAlignment="1">
      <alignment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right" vertical="center"/>
    </xf>
    <xf numFmtId="0" fontId="2" fillId="0" borderId="3" xfId="0" applyFont="1" applyBorder="1" applyAlignment="1">
      <alignment horizontal="right" vertical="center"/>
    </xf>
    <xf numFmtId="2" fontId="2" fillId="0" borderId="1" xfId="0" applyNumberFormat="1" applyFont="1" applyBorder="1" applyAlignment="1">
      <alignment horizontal="right" vertical="center"/>
    </xf>
    <xf numFmtId="0" fontId="0" fillId="0" borderId="4" xfId="0" applyBorder="1" applyAlignment="1">
      <alignment horizontal="left" vertical="center"/>
    </xf>
    <xf numFmtId="0" fontId="0" fillId="0" borderId="5" xfId="0" applyBorder="1" applyAlignment="1">
      <alignment vertical="center"/>
    </xf>
    <xf numFmtId="2" fontId="0" fillId="0" borderId="5" xfId="0" applyNumberFormat="1" applyBorder="1" applyAlignment="1">
      <alignment vertical="center"/>
    </xf>
    <xf numFmtId="9" fontId="0" fillId="0" borderId="6" xfId="1" applyFont="1" applyBorder="1" applyAlignment="1">
      <alignment vertical="center"/>
    </xf>
    <xf numFmtId="0" fontId="0" fillId="0" borderId="7" xfId="0" applyBorder="1" applyAlignment="1">
      <alignment horizontal="left" vertical="center"/>
    </xf>
    <xf numFmtId="9" fontId="0" fillId="0" borderId="8" xfId="1" applyFont="1" applyBorder="1" applyAlignment="1">
      <alignment vertical="center"/>
    </xf>
    <xf numFmtId="0" fontId="0" fillId="0" borderId="9" xfId="0" applyBorder="1" applyAlignment="1">
      <alignment horizontal="left" vertical="center"/>
    </xf>
    <xf numFmtId="0" fontId="0" fillId="0" borderId="10" xfId="0" applyBorder="1" applyAlignment="1">
      <alignment vertical="center"/>
    </xf>
    <xf numFmtId="2" fontId="0" fillId="0" borderId="10" xfId="0" applyNumberFormat="1" applyBorder="1" applyAlignment="1">
      <alignment vertical="center"/>
    </xf>
    <xf numFmtId="9" fontId="0" fillId="0" borderId="11" xfId="1" applyFont="1" applyBorder="1" applyAlignment="1">
      <alignment vertical="center"/>
    </xf>
    <xf numFmtId="164" fontId="0" fillId="0" borderId="4" xfId="0" applyNumberFormat="1" applyBorder="1" applyAlignment="1">
      <alignment vertical="center"/>
    </xf>
    <xf numFmtId="164" fontId="0" fillId="0" borderId="5" xfId="0" applyNumberFormat="1" applyBorder="1" applyAlignment="1">
      <alignment vertical="center"/>
    </xf>
    <xf numFmtId="10" fontId="0" fillId="0" borderId="6" xfId="1" applyNumberFormat="1" applyFont="1" applyBorder="1" applyAlignment="1">
      <alignment vertical="center"/>
    </xf>
    <xf numFmtId="164" fontId="0" fillId="0" borderId="7" xfId="0" applyNumberFormat="1" applyBorder="1" applyAlignment="1">
      <alignment vertical="center"/>
    </xf>
    <xf numFmtId="10" fontId="0" fillId="0" borderId="8" xfId="1" applyNumberFormat="1" applyFont="1" applyBorder="1" applyAlignment="1">
      <alignment vertical="center"/>
    </xf>
    <xf numFmtId="164" fontId="0" fillId="0" borderId="9" xfId="0" applyNumberFormat="1" applyBorder="1" applyAlignment="1">
      <alignment vertical="center"/>
    </xf>
    <xf numFmtId="164" fontId="0" fillId="0" borderId="10" xfId="0" applyNumberFormat="1" applyBorder="1" applyAlignment="1">
      <alignment vertical="center"/>
    </xf>
    <xf numFmtId="10" fontId="0" fillId="0" borderId="11" xfId="1" applyNumberFormat="1" applyFont="1" applyBorder="1" applyAlignment="1">
      <alignment vertical="center"/>
    </xf>
    <xf numFmtId="2" fontId="0" fillId="0" borderId="4" xfId="0" applyNumberFormat="1" applyBorder="1" applyAlignment="1">
      <alignment vertical="center"/>
    </xf>
    <xf numFmtId="2" fontId="0" fillId="0" borderId="7" xfId="0" applyNumberFormat="1" applyBorder="1" applyAlignment="1">
      <alignment vertical="center"/>
    </xf>
    <xf numFmtId="2" fontId="0" fillId="0" borderId="9" xfId="0" applyNumberFormat="1" applyBorder="1" applyAlignment="1">
      <alignment vertical="center"/>
    </xf>
    <xf numFmtId="0" fontId="0" fillId="2" borderId="0" xfId="0" applyFill="1" applyAlignment="1">
      <alignment vertical="center"/>
    </xf>
    <xf numFmtId="2" fontId="2" fillId="2" borderId="0" xfId="0" applyNumberFormat="1" applyFont="1" applyFill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167" fontId="0" fillId="0" borderId="0" xfId="2" applyNumberFormat="1" applyFont="1"/>
    <xf numFmtId="0" fontId="7" fillId="0" borderId="0" xfId="0" applyFont="1"/>
    <xf numFmtId="0" fontId="0" fillId="0" borderId="0" xfId="0" applyAlignment="1">
      <alignment horizontal="left" vertical="center" indent="1"/>
    </xf>
    <xf numFmtId="0" fontId="7" fillId="0" borderId="0" xfId="0" applyFont="1" applyAlignment="1">
      <alignment horizontal="left" indent="1"/>
    </xf>
    <xf numFmtId="0" fontId="6" fillId="5" borderId="0" xfId="5" applyAlignment="1">
      <alignment horizontal="left" indent="1"/>
    </xf>
    <xf numFmtId="0" fontId="6" fillId="5" borderId="0" xfId="5"/>
    <xf numFmtId="0" fontId="6" fillId="5" borderId="0" xfId="5" applyAlignment="1">
      <alignment horizontal="right" vertical="center"/>
    </xf>
    <xf numFmtId="0" fontId="4" fillId="3" borderId="0" xfId="3"/>
    <xf numFmtId="167" fontId="4" fillId="3" borderId="0" xfId="2" applyNumberFormat="1" applyFont="1" applyFill="1"/>
    <xf numFmtId="0" fontId="6" fillId="5" borderId="0" xfId="5" applyAlignment="1">
      <alignment vertical="center"/>
    </xf>
    <xf numFmtId="0" fontId="4" fillId="3" borderId="0" xfId="3" applyAlignment="1">
      <alignment vertical="center"/>
    </xf>
    <xf numFmtId="0" fontId="9" fillId="2" borderId="0" xfId="0" applyFont="1" applyFill="1" applyAlignment="1">
      <alignment vertical="center"/>
    </xf>
    <xf numFmtId="0" fontId="9" fillId="0" borderId="0" xfId="0" applyFont="1" applyAlignment="1">
      <alignment vertical="center"/>
    </xf>
    <xf numFmtId="0" fontId="9" fillId="0" borderId="7" xfId="0" applyFont="1" applyBorder="1" applyAlignment="1">
      <alignment vertical="center"/>
    </xf>
    <xf numFmtId="164" fontId="9" fillId="0" borderId="7" xfId="0" applyNumberFormat="1" applyFont="1" applyBorder="1" applyAlignment="1">
      <alignment vertical="center"/>
    </xf>
    <xf numFmtId="2" fontId="9" fillId="0" borderId="8" xfId="0" applyNumberFormat="1" applyFont="1" applyBorder="1" applyAlignment="1">
      <alignment vertical="center"/>
    </xf>
    <xf numFmtId="2" fontId="9" fillId="0" borderId="7" xfId="0" applyNumberFormat="1" applyFont="1" applyBorder="1" applyAlignment="1">
      <alignment vertical="center"/>
    </xf>
    <xf numFmtId="165" fontId="9" fillId="0" borderId="8" xfId="0" applyNumberFormat="1" applyFont="1" applyBorder="1" applyAlignment="1">
      <alignment vertical="center"/>
    </xf>
    <xf numFmtId="0" fontId="9" fillId="0" borderId="0" xfId="0" applyFont="1" applyAlignment="1">
      <alignment horizontal="right" vertical="center"/>
    </xf>
    <xf numFmtId="0" fontId="9" fillId="0" borderId="8" xfId="0" applyFont="1" applyBorder="1" applyAlignment="1">
      <alignment horizontal="right" vertical="center"/>
    </xf>
    <xf numFmtId="165" fontId="8" fillId="7" borderId="16" xfId="3" applyNumberFormat="1" applyFont="1" applyFill="1" applyBorder="1" applyAlignment="1">
      <alignment vertical="center"/>
    </xf>
    <xf numFmtId="0" fontId="9" fillId="0" borderId="0" xfId="6" applyFont="1" applyFill="1" applyBorder="1" applyAlignment="1">
      <alignment vertical="center"/>
    </xf>
    <xf numFmtId="0" fontId="9" fillId="0" borderId="9" xfId="0" applyFont="1" applyBorder="1" applyAlignment="1">
      <alignment vertical="center"/>
    </xf>
    <xf numFmtId="164" fontId="9" fillId="0" borderId="9" xfId="0" applyNumberFormat="1" applyFont="1" applyBorder="1" applyAlignment="1">
      <alignment vertical="center"/>
    </xf>
    <xf numFmtId="2" fontId="9" fillId="0" borderId="11" xfId="0" applyNumberFormat="1" applyFont="1" applyBorder="1" applyAlignment="1">
      <alignment vertical="center"/>
    </xf>
    <xf numFmtId="2" fontId="9" fillId="0" borderId="9" xfId="0" applyNumberFormat="1" applyFont="1" applyBorder="1" applyAlignment="1">
      <alignment vertical="center"/>
    </xf>
    <xf numFmtId="164" fontId="9" fillId="0" borderId="10" xfId="0" applyNumberFormat="1" applyFont="1" applyBorder="1" applyAlignment="1">
      <alignment vertical="center"/>
    </xf>
    <xf numFmtId="165" fontId="9" fillId="0" borderId="11" xfId="0" applyNumberFormat="1" applyFont="1" applyBorder="1" applyAlignment="1">
      <alignment vertical="center"/>
    </xf>
    <xf numFmtId="0" fontId="9" fillId="0" borderId="10" xfId="0" applyFont="1" applyBorder="1" applyAlignment="1">
      <alignment vertical="center"/>
    </xf>
    <xf numFmtId="0" fontId="9" fillId="0" borderId="10" xfId="0" applyFont="1" applyBorder="1" applyAlignment="1">
      <alignment horizontal="right" vertical="center"/>
    </xf>
    <xf numFmtId="0" fontId="9" fillId="0" borderId="11" xfId="0" applyFont="1" applyBorder="1" applyAlignment="1">
      <alignment horizontal="right" vertical="center"/>
    </xf>
    <xf numFmtId="164" fontId="9" fillId="2" borderId="0" xfId="0" applyNumberFormat="1" applyFont="1" applyFill="1" applyAlignment="1">
      <alignment vertical="center"/>
    </xf>
    <xf numFmtId="165" fontId="9" fillId="2" borderId="0" xfId="0" applyNumberFormat="1" applyFont="1" applyFill="1" applyAlignment="1">
      <alignment vertical="center"/>
    </xf>
    <xf numFmtId="0" fontId="9" fillId="0" borderId="14" xfId="0" applyFont="1" applyBorder="1" applyAlignment="1">
      <alignment vertical="center"/>
    </xf>
    <xf numFmtId="165" fontId="8" fillId="7" borderId="17" xfId="3" applyNumberFormat="1" applyFont="1" applyFill="1" applyBorder="1" applyAlignment="1">
      <alignment vertical="center"/>
    </xf>
    <xf numFmtId="0" fontId="9" fillId="0" borderId="5" xfId="0" applyFont="1" applyBorder="1" applyAlignment="1">
      <alignment vertical="center"/>
    </xf>
    <xf numFmtId="0" fontId="9" fillId="0" borderId="5" xfId="0" applyFont="1" applyBorder="1" applyAlignment="1">
      <alignment horizontal="right" vertical="center"/>
    </xf>
    <xf numFmtId="0" fontId="10" fillId="8" borderId="5" xfId="0" applyFont="1" applyFill="1" applyBorder="1" applyAlignment="1">
      <alignment vertical="center"/>
    </xf>
    <xf numFmtId="0" fontId="9" fillId="0" borderId="6" xfId="0" applyFont="1" applyBorder="1" applyAlignment="1">
      <alignment horizontal="right" vertical="center"/>
    </xf>
    <xf numFmtId="0" fontId="9" fillId="0" borderId="15" xfId="0" applyFont="1" applyBorder="1" applyAlignment="1">
      <alignment vertical="center"/>
    </xf>
    <xf numFmtId="2" fontId="9" fillId="0" borderId="10" xfId="0" applyNumberFormat="1" applyFont="1" applyBorder="1" applyAlignment="1">
      <alignment vertical="center"/>
    </xf>
    <xf numFmtId="164" fontId="12" fillId="0" borderId="10" xfId="3" applyNumberFormat="1" applyFont="1" applyFill="1" applyBorder="1" applyAlignment="1">
      <alignment vertical="center"/>
    </xf>
    <xf numFmtId="165" fontId="11" fillId="0" borderId="11" xfId="4" applyNumberFormat="1" applyFont="1" applyFill="1" applyBorder="1" applyAlignment="1">
      <alignment vertical="center"/>
    </xf>
    <xf numFmtId="0" fontId="10" fillId="9" borderId="10" xfId="0" applyFont="1" applyFill="1" applyBorder="1" applyAlignment="1">
      <alignment vertical="center"/>
    </xf>
    <xf numFmtId="167" fontId="9" fillId="2" borderId="0" xfId="2" applyNumberFormat="1" applyFont="1" applyFill="1" applyAlignment="1">
      <alignment vertical="center"/>
    </xf>
    <xf numFmtId="0" fontId="9" fillId="0" borderId="13" xfId="0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2" fontId="9" fillId="0" borderId="3" xfId="0" applyNumberFormat="1" applyFont="1" applyBorder="1" applyAlignment="1">
      <alignment vertical="center"/>
    </xf>
    <xf numFmtId="164" fontId="9" fillId="0" borderId="2" xfId="0" applyNumberFormat="1" applyFont="1" applyBorder="1" applyAlignment="1">
      <alignment vertical="center"/>
    </xf>
    <xf numFmtId="165" fontId="9" fillId="0" borderId="3" xfId="0" applyNumberFormat="1" applyFont="1" applyBorder="1" applyAlignment="1">
      <alignment vertical="center"/>
    </xf>
    <xf numFmtId="0" fontId="9" fillId="0" borderId="2" xfId="0" applyFont="1" applyBorder="1" applyAlignment="1">
      <alignment vertical="center"/>
    </xf>
    <xf numFmtId="0" fontId="9" fillId="0" borderId="2" xfId="0" applyFont="1" applyBorder="1" applyAlignment="1">
      <alignment horizontal="right" vertical="center"/>
    </xf>
    <xf numFmtId="167" fontId="9" fillId="0" borderId="2" xfId="2" applyNumberFormat="1" applyFont="1" applyBorder="1" applyAlignment="1">
      <alignment vertical="center"/>
    </xf>
    <xf numFmtId="0" fontId="9" fillId="0" borderId="3" xfId="0" applyFont="1" applyBorder="1" applyAlignment="1">
      <alignment horizontal="right" vertical="center"/>
    </xf>
    <xf numFmtId="167" fontId="9" fillId="0" borderId="0" xfId="2" applyNumberFormat="1" applyFont="1" applyAlignment="1">
      <alignment vertical="center"/>
    </xf>
    <xf numFmtId="0" fontId="9" fillId="6" borderId="21" xfId="6" applyFont="1" applyBorder="1" applyAlignment="1">
      <alignment vertical="center"/>
    </xf>
    <xf numFmtId="0" fontId="8" fillId="0" borderId="1" xfId="0" applyFont="1" applyBorder="1" applyAlignment="1">
      <alignment vertical="center"/>
    </xf>
    <xf numFmtId="0" fontId="8" fillId="0" borderId="1" xfId="0" applyFont="1" applyBorder="1" applyAlignment="1">
      <alignment horizontal="right" vertical="center"/>
    </xf>
    <xf numFmtId="0" fontId="8" fillId="0" borderId="3" xfId="0" applyFont="1" applyBorder="1" applyAlignment="1">
      <alignment horizontal="right" vertical="center"/>
    </xf>
    <xf numFmtId="0" fontId="8" fillId="0" borderId="2" xfId="0" applyFont="1" applyBorder="1" applyAlignment="1">
      <alignment horizontal="right" vertical="center"/>
    </xf>
    <xf numFmtId="2" fontId="8" fillId="0" borderId="3" xfId="0" applyNumberFormat="1" applyFont="1" applyBorder="1" applyAlignment="1">
      <alignment horizontal="right" vertical="center"/>
    </xf>
    <xf numFmtId="0" fontId="9" fillId="0" borderId="21" xfId="6" applyFont="1" applyFill="1" applyBorder="1" applyAlignment="1">
      <alignment horizontal="right" vertical="center"/>
    </xf>
    <xf numFmtId="167" fontId="9" fillId="0" borderId="21" xfId="6" applyNumberFormat="1" applyFont="1" applyFill="1" applyBorder="1" applyAlignment="1">
      <alignment vertical="center"/>
    </xf>
    <xf numFmtId="0" fontId="9" fillId="0" borderId="20" xfId="6" applyFont="1" applyFill="1" applyBorder="1" applyAlignment="1">
      <alignment horizontal="right" vertical="center"/>
    </xf>
    <xf numFmtId="0" fontId="9" fillId="0" borderId="18" xfId="6" applyFont="1" applyFill="1" applyBorder="1" applyAlignment="1">
      <alignment vertical="center"/>
    </xf>
    <xf numFmtId="2" fontId="9" fillId="0" borderId="20" xfId="6" applyNumberFormat="1" applyFont="1" applyFill="1" applyBorder="1" applyAlignment="1">
      <alignment horizontal="right" vertical="center"/>
    </xf>
    <xf numFmtId="0" fontId="9" fillId="0" borderId="22" xfId="6" applyFont="1" applyFill="1" applyBorder="1" applyAlignment="1">
      <alignment vertical="center"/>
    </xf>
    <xf numFmtId="0" fontId="9" fillId="0" borderId="21" xfId="6" applyFont="1" applyFill="1" applyBorder="1" applyAlignment="1">
      <alignment vertical="center"/>
    </xf>
    <xf numFmtId="164" fontId="13" fillId="0" borderId="5" xfId="0" applyNumberFormat="1" applyFont="1" applyBorder="1" applyAlignment="1">
      <alignment vertical="center"/>
    </xf>
    <xf numFmtId="2" fontId="13" fillId="0" borderId="5" xfId="0" applyNumberFormat="1" applyFont="1" applyBorder="1" applyAlignment="1">
      <alignment vertical="center"/>
    </xf>
    <xf numFmtId="164" fontId="13" fillId="0" borderId="19" xfId="6" applyNumberFormat="1" applyFont="1" applyFill="1" applyBorder="1" applyAlignment="1">
      <alignment vertical="center"/>
    </xf>
    <xf numFmtId="2" fontId="13" fillId="0" borderId="20" xfId="6" applyNumberFormat="1" applyFont="1" applyFill="1" applyBorder="1" applyAlignment="1">
      <alignment vertical="center"/>
    </xf>
    <xf numFmtId="164" fontId="13" fillId="0" borderId="7" xfId="0" applyNumberFormat="1" applyFont="1" applyBorder="1" applyAlignment="1">
      <alignment vertical="center"/>
    </xf>
    <xf numFmtId="2" fontId="13" fillId="0" borderId="8" xfId="0" applyNumberFormat="1" applyFont="1" applyBorder="1" applyAlignment="1">
      <alignment vertical="center"/>
    </xf>
    <xf numFmtId="167" fontId="14" fillId="0" borderId="5" xfId="2" applyNumberFormat="1" applyFont="1" applyBorder="1" applyAlignment="1">
      <alignment vertical="center"/>
    </xf>
    <xf numFmtId="167" fontId="15" fillId="0" borderId="10" xfId="2" applyNumberFormat="1" applyFont="1" applyBorder="1" applyAlignment="1">
      <alignment vertical="center"/>
    </xf>
    <xf numFmtId="0" fontId="9" fillId="0" borderId="1" xfId="0" applyFont="1" applyBorder="1" applyAlignment="1">
      <alignment vertical="center"/>
    </xf>
    <xf numFmtId="2" fontId="0" fillId="0" borderId="4" xfId="0" applyNumberFormat="1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2" fontId="9" fillId="0" borderId="19" xfId="6" applyNumberFormat="1" applyFont="1" applyFill="1" applyBorder="1" applyAlignment="1">
      <alignment horizontal="right" vertical="center"/>
    </xf>
    <xf numFmtId="164" fontId="9" fillId="0" borderId="21" xfId="6" applyNumberFormat="1" applyFont="1" applyFill="1" applyBorder="1" applyAlignment="1">
      <alignment horizontal="right" vertical="center"/>
    </xf>
    <xf numFmtId="2" fontId="16" fillId="0" borderId="4" xfId="0" applyNumberFormat="1" applyFont="1" applyBorder="1" applyAlignment="1">
      <alignment vertical="center"/>
    </xf>
    <xf numFmtId="164" fontId="9" fillId="0" borderId="0" xfId="0" applyNumberFormat="1" applyFont="1" applyBorder="1" applyAlignment="1">
      <alignment vertical="center"/>
    </xf>
    <xf numFmtId="2" fontId="9" fillId="0" borderId="0" xfId="0" applyNumberFormat="1" applyFont="1" applyBorder="1" applyAlignment="1">
      <alignment vertical="center"/>
    </xf>
    <xf numFmtId="2" fontId="11" fillId="0" borderId="0" xfId="0" applyNumberFormat="1" applyFont="1" applyBorder="1" applyAlignment="1">
      <alignment vertical="center"/>
    </xf>
    <xf numFmtId="164" fontId="17" fillId="0" borderId="5" xfId="0" applyNumberFormat="1" applyFont="1" applyBorder="1" applyAlignment="1">
      <alignment vertical="center"/>
    </xf>
    <xf numFmtId="2" fontId="18" fillId="0" borderId="1" xfId="0" applyNumberFormat="1" applyFont="1" applyBorder="1" applyAlignment="1">
      <alignment vertical="center"/>
    </xf>
    <xf numFmtId="2" fontId="11" fillId="0" borderId="9" xfId="0" applyNumberFormat="1" applyFont="1" applyBorder="1" applyAlignment="1">
      <alignment vertical="center"/>
    </xf>
  </cellXfs>
  <cellStyles count="7">
    <cellStyle name="Bad" xfId="4" builtinId="27"/>
    <cellStyle name="Comma" xfId="2" builtinId="3"/>
    <cellStyle name="Good" xfId="3" builtinId="26"/>
    <cellStyle name="Neutral" xfId="5" builtinId="28"/>
    <cellStyle name="Normal" xfId="0" builtinId="0"/>
    <cellStyle name="Note" xfId="6" builtinId="10"/>
    <cellStyle name="Percent" xfId="1" builtinId="5"/>
  </cellStyles>
  <dxfs count="3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center" textRotation="0" wrapText="0" indent="0" justifyLastLine="0" shrinkToFit="0" readingOrder="0"/>
    </dxf>
    <dxf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major"/>
      </font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major"/>
      </font>
    </dxf>
    <dxf>
      <numFmt numFmtId="2" formatCode="0.00"/>
      <alignment horizontal="general" vertical="center" textRotation="0" wrapText="0" indent="0" justifyLastLine="0" shrinkToFit="0" readingOrder="0"/>
    </dxf>
    <dxf>
      <numFmt numFmtId="164" formatCode="0.0000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164" formatCode="0.0000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right" vertical="center" textRotation="0" wrapText="0" indent="0" justifyLastLine="0" shrinkToFit="0" readingOrder="0"/>
    </dxf>
    <dxf>
      <numFmt numFmtId="2" formatCode="0.00"/>
    </dxf>
  </dxfs>
  <tableStyles count="0" defaultTableStyle="TableStyleMedium2" defaultPivotStyle="PivotStyleLight16"/>
  <colors>
    <mruColors>
      <color rgb="FFEEB500"/>
      <color rgb="FFED8801"/>
      <color rgb="FF009900"/>
      <color rgb="FFFF1493"/>
      <color rgb="FF0000FF"/>
      <color rgb="FF808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26</xdr:col>
      <xdr:colOff>0</xdr:colOff>
      <xdr:row>19</xdr:row>
      <xdr:rowOff>0</xdr:rowOff>
    </xdr:from>
    <xdr:to>
      <xdr:col>26</xdr:col>
      <xdr:colOff>304800</xdr:colOff>
      <xdr:row>20</xdr:row>
      <xdr:rowOff>0</xdr:rowOff>
    </xdr:to>
    <xdr:sp macro="" textlink="">
      <xdr:nvSpPr>
        <xdr:cNvPr id="7169" name="AutoShape 1" descr="Output image">
          <a:extLst>
            <a:ext uri="{FF2B5EF4-FFF2-40B4-BE49-F238E27FC236}">
              <a16:creationId xmlns:a16="http://schemas.microsoft.com/office/drawing/2014/main" id="{D8FE18D9-E0B9-24F4-26E3-35208F2CC304}"/>
            </a:ext>
          </a:extLst>
        </xdr:cNvPr>
        <xdr:cNvSpPr>
          <a:spLocks noChangeAspect="1" noChangeArrowheads="1"/>
        </xdr:cNvSpPr>
      </xdr:nvSpPr>
      <xdr:spPr bwMode="auto">
        <a:xfrm>
          <a:off x="13668375" y="533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ui Seng Chua" refreshedDate="46220.384396412039" createdVersion="8" refreshedVersion="8" minRefreshableVersion="3" recordCount="60" xr:uid="{DB0BE73C-60FA-49F0-A783-F58232891712}">
  <cacheSource type="worksheet">
    <worksheetSource name="Table1"/>
  </cacheSource>
  <cacheFields count="6">
    <cacheField name="Name" numFmtId="0">
      <sharedItems count="21">
        <s v="00_llama2_ref"/>
        <s v="01_moedl_dense"/>
        <s v="a0_moedl_no_lb"/>
        <s v="a1_moedl_lb_penalty"/>
        <s v="a2_moedl_lb_biasing"/>
        <s v="b1_moedl_e2_k1"/>
        <s v="b2_moedl_e4_k1"/>
        <s v="b3_moedl_e8_k1"/>
        <s v="b4_moedl_e16_k1"/>
        <s v="c1_moedl_e8_k1"/>
        <s v="c2_moedl_e16_k2"/>
        <s v="c3_moedl_e32_k4"/>
        <s v="c4_moedl_e64_k8"/>
        <s v="d1_moedl_s0_k4_e32"/>
        <s v="d2_moedl_s1_k3_e31"/>
        <s v="d3_moedl_s2_k2_e30"/>
        <s v="d4_moedl_s3_k1_e29"/>
        <s v="e1_moedl_cf_1.0"/>
        <s v="e2_moedl_cf_1.5"/>
        <s v="e3_moedl_cf_2.0"/>
        <s v="e4_moedl_cf_2.5"/>
      </sharedItems>
    </cacheField>
    <cacheField name="runset" numFmtId="0">
      <sharedItems count="6">
        <s v="on_0119"/>
        <s v="on_0213"/>
        <s v="on_0716"/>
        <s v="a" u="1"/>
        <s v="b" u="1"/>
        <s v="c" u="1"/>
      </sharedItems>
    </cacheField>
    <cacheField name="eval/loss" numFmtId="164">
      <sharedItems containsSemiMixedTypes="0" containsString="0" containsNumber="1" minValue="1.0572606325149501" maxValue="1.1487896442413299"/>
    </cacheField>
    <cacheField name="Runtime" numFmtId="0">
      <sharedItems containsSemiMixedTypes="0" containsString="0" containsNumber="1" containsInteger="1" minValue="6744" maxValue="27565"/>
    </cacheField>
    <cacheField name="train/loss" numFmtId="164">
      <sharedItems containsSemiMixedTypes="0" containsString="0" containsNumber="1" minValue="1.0141" maxValue="1.129"/>
    </cacheField>
    <cacheField name="runtime (hr)" numFmtId="2">
      <sharedItems containsSemiMixedTypes="0" containsString="0" containsNumber="1" minValue="1.8733333333333333" maxValue="7.656944444444444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0">
  <r>
    <x v="0"/>
    <x v="0"/>
    <n v="1.11134445667266"/>
    <n v="6807"/>
    <n v="1.0844"/>
    <n v="1.8908333333333334"/>
  </r>
  <r>
    <x v="1"/>
    <x v="0"/>
    <n v="1.11118912696838"/>
    <n v="6791"/>
    <n v="1.0832999999999999"/>
    <n v="1.8863888888888889"/>
  </r>
  <r>
    <x v="2"/>
    <x v="0"/>
    <n v="1.12694776058197"/>
    <n v="10306"/>
    <n v="1.0932999999999999"/>
    <n v="2.8627777777777776"/>
  </r>
  <r>
    <x v="3"/>
    <x v="0"/>
    <n v="1.1370919942855799"/>
    <n v="10297"/>
    <n v="1.1208"/>
    <n v="2.8602777777777777"/>
  </r>
  <r>
    <x v="4"/>
    <x v="0"/>
    <n v="1.1295984983444201"/>
    <n v="10035"/>
    <n v="1.0992999999999999"/>
    <n v="2.7875000000000001"/>
  </r>
  <r>
    <x v="5"/>
    <x v="0"/>
    <n v="1.11804747581481"/>
    <n v="8395"/>
    <n v="1.0900000000000001"/>
    <n v="2.3319444444444444"/>
  </r>
  <r>
    <x v="6"/>
    <x v="0"/>
    <n v="1.1246691942214899"/>
    <n v="8867"/>
    <n v="1.0959000000000001"/>
    <n v="2.4630555555555556"/>
  </r>
  <r>
    <x v="7"/>
    <x v="0"/>
    <n v="1.1295984983444201"/>
    <n v="10085"/>
    <n v="1.0992999999999999"/>
    <n v="2.8013888888888889"/>
  </r>
  <r>
    <x v="8"/>
    <x v="0"/>
    <n v="1.1377271413803101"/>
    <n v="12924"/>
    <n v="1.1015999999999999"/>
    <n v="3.59"/>
  </r>
  <r>
    <x v="9"/>
    <x v="0"/>
    <n v="1.1295984983444201"/>
    <n v="10047"/>
    <n v="1.0992999999999999"/>
    <n v="2.7908333333333335"/>
  </r>
  <r>
    <x v="10"/>
    <x v="0"/>
    <n v="1.0658214092254601"/>
    <n v="12256"/>
    <n v="1.0236000000000001"/>
    <n v="3.4044444444444446"/>
  </r>
  <r>
    <x v="11"/>
    <x v="0"/>
    <n v="1.0581374168395901"/>
    <n v="17931"/>
    <n v="1.0144"/>
    <n v="4.980833333333333"/>
  </r>
  <r>
    <x v="12"/>
    <x v="0"/>
    <n v="1.05835402011871"/>
    <n v="27565"/>
    <n v="1.0149999999999999"/>
    <n v="7.6569444444444441"/>
  </r>
  <r>
    <x v="13"/>
    <x v="0"/>
    <n v="1.0581374168395901"/>
    <n v="17921"/>
    <n v="1.0144"/>
    <n v="4.9780555555555557"/>
  </r>
  <r>
    <x v="14"/>
    <x v="0"/>
    <n v="1.0572606325149501"/>
    <n v="17234"/>
    <n v="1.0141"/>
    <n v="4.7872222222222218"/>
  </r>
  <r>
    <x v="15"/>
    <x v="0"/>
    <n v="1.05996394157409"/>
    <n v="16477"/>
    <n v="1.0181"/>
    <n v="4.576944444444444"/>
  </r>
  <r>
    <x v="16"/>
    <x v="0"/>
    <n v="1.1013923883438099"/>
    <n v="15682"/>
    <n v="1.0670999999999999"/>
    <n v="4.3561111111111108"/>
  </r>
  <r>
    <x v="17"/>
    <x v="0"/>
    <n v="1.1316434144973699"/>
    <n v="10001"/>
    <n v="1.1021000000000001"/>
    <n v="2.7780555555555555"/>
  </r>
  <r>
    <x v="18"/>
    <x v="0"/>
    <n v="1.1320948600769001"/>
    <n v="9958"/>
    <n v="1.1024"/>
    <n v="2.766111111111111"/>
  </r>
  <r>
    <x v="19"/>
    <x v="0"/>
    <n v="1.1334214210510201"/>
    <n v="9864"/>
    <n v="1.1033999999999999"/>
    <n v="2.74"/>
  </r>
  <r>
    <x v="20"/>
    <x v="0"/>
    <n v="1.1313065290451001"/>
    <n v="9906"/>
    <n v="1.0993999999999999"/>
    <n v="2.7516666666666665"/>
  </r>
  <r>
    <x v="2"/>
    <x v="1"/>
    <n v="1.1323504447937001"/>
    <n v="8552"/>
    <n v="1.1006"/>
    <n v="2.3755555555555556"/>
  </r>
  <r>
    <x v="3"/>
    <x v="1"/>
    <n v="1.14303863048553"/>
    <n v="8578"/>
    <n v="1.129"/>
    <n v="2.3827777777777777"/>
  </r>
  <r>
    <x v="4"/>
    <x v="1"/>
    <n v="1.1407160758972099"/>
    <n v="8617"/>
    <n v="1.1076999999999999"/>
    <n v="2.3936111111111109"/>
  </r>
  <r>
    <x v="5"/>
    <x v="1"/>
    <n v="1.12241566181182"/>
    <n v="8071"/>
    <n v="1.0947"/>
    <n v="2.2419444444444445"/>
  </r>
  <r>
    <x v="6"/>
    <x v="1"/>
    <n v="1.13310766220092"/>
    <n v="8259"/>
    <n v="1.1032"/>
    <n v="2.2941666666666665"/>
  </r>
  <r>
    <x v="7"/>
    <x v="1"/>
    <n v="1.1407160758972099"/>
    <n v="8581"/>
    <n v="1.1076999999999999"/>
    <n v="2.3836111111111111"/>
  </r>
  <r>
    <x v="8"/>
    <x v="1"/>
    <n v="1.1485748291015601"/>
    <n v="9221"/>
    <n v="1.1133999999999999"/>
    <n v="2.5613888888888887"/>
  </r>
  <r>
    <x v="9"/>
    <x v="1"/>
    <n v="1.1407160758972099"/>
    <n v="8617"/>
    <n v="1.1076999999999999"/>
    <n v="2.3936111111111109"/>
  </r>
  <r>
    <x v="10"/>
    <x v="1"/>
    <n v="1.0782896280288601"/>
    <n v="9303"/>
    <n v="1.0401"/>
    <n v="2.5841666666666665"/>
  </r>
  <r>
    <x v="11"/>
    <x v="1"/>
    <n v="1.07253313064575"/>
    <n v="10792"/>
    <n v="1.034"/>
    <n v="2.9977777777777779"/>
  </r>
  <r>
    <x v="12"/>
    <x v="1"/>
    <n v="1.0703152418136499"/>
    <n v="14999"/>
    <n v="1.0306"/>
    <n v="4.1663888888888891"/>
  </r>
  <r>
    <x v="13"/>
    <x v="1"/>
    <n v="1.07376980781555"/>
    <n v="10781"/>
    <n v="1.0342"/>
    <n v="2.9947222222222223"/>
  </r>
  <r>
    <x v="14"/>
    <x v="1"/>
    <n v="1.0754539966583201"/>
    <n v="10442"/>
    <n v="1.0373000000000001"/>
    <n v="2.9005555555555556"/>
  </r>
  <r>
    <x v="15"/>
    <x v="1"/>
    <n v="1.0731346607208201"/>
    <n v="9952"/>
    <n v="1.0363"/>
    <n v="2.7644444444444445"/>
  </r>
  <r>
    <x v="16"/>
    <x v="1"/>
    <n v="1.10969054698944"/>
    <n v="9525"/>
    <n v="1.0783"/>
    <n v="2.6458333333333335"/>
  </r>
  <r>
    <x v="17"/>
    <x v="1"/>
    <n v="1.13574850559234"/>
    <n v="8859"/>
    <n v="1.1079000000000001"/>
    <n v="2.4608333333333334"/>
  </r>
  <r>
    <x v="18"/>
    <x v="1"/>
    <n v="1.1354947090148899"/>
    <n v="8722"/>
    <n v="1.1060000000000001"/>
    <n v="2.4227777777777777"/>
  </r>
  <r>
    <x v="19"/>
    <x v="1"/>
    <n v="1.1346573829650799"/>
    <n v="8662"/>
    <n v="1.1052"/>
    <n v="2.4061111111111111"/>
  </r>
  <r>
    <x v="20"/>
    <x v="1"/>
    <n v="1.13679718971252"/>
    <n v="8672"/>
    <n v="1.1067"/>
    <n v="2.4088888888888889"/>
  </r>
  <r>
    <x v="1"/>
    <x v="2"/>
    <n v="1.11041831970214"/>
    <n v="6744"/>
    <n v="1.0764"/>
    <n v="1.8733333333333333"/>
  </r>
  <r>
    <x v="2"/>
    <x v="2"/>
    <n v="1.1338026523589999"/>
    <n v="7844"/>
    <n v="1.0965"/>
    <n v="2.1788888888888889"/>
  </r>
  <r>
    <x v="3"/>
    <x v="2"/>
    <n v="1.1433684825897199"/>
    <n v="7815"/>
    <n v="1.1221000000000001"/>
    <n v="2.1708333333333334"/>
  </r>
  <r>
    <x v="4"/>
    <x v="2"/>
    <n v="1.14112961292266"/>
    <n v="7752"/>
    <n v="1.1035999999999999"/>
    <n v="2.1533333333333333"/>
  </r>
  <r>
    <x v="5"/>
    <x v="2"/>
    <n v="1.12357354164123"/>
    <n v="7449"/>
    <n v="1.0900000000000001"/>
    <n v="2.0691666666666668"/>
  </r>
  <r>
    <x v="6"/>
    <x v="2"/>
    <n v="1.1333440542221001"/>
    <n v="7552"/>
    <n v="1.0988"/>
    <n v="2.097777777777778"/>
  </r>
  <r>
    <x v="7"/>
    <x v="2"/>
    <n v="1.14112961292266"/>
    <n v="7748"/>
    <n v="1.1035999999999999"/>
    <n v="2.152222222222222"/>
  </r>
  <r>
    <x v="8"/>
    <x v="2"/>
    <n v="1.1487896442413299"/>
    <n v="8022"/>
    <n v="1.1071"/>
    <n v="2.2283333333333335"/>
  </r>
  <r>
    <x v="9"/>
    <x v="2"/>
    <n v="1.14112961292266"/>
    <n v="7756"/>
    <n v="1.1035999999999999"/>
    <n v="2.1544444444444446"/>
  </r>
  <r>
    <x v="10"/>
    <x v="2"/>
    <n v="1.0792680978775"/>
    <n v="8075"/>
    <n v="1.0364"/>
    <n v="2.2430555555555554"/>
  </r>
  <r>
    <x v="11"/>
    <x v="2"/>
    <n v="1.0744439363479601"/>
    <n v="8852"/>
    <n v="1.03"/>
    <n v="2.4588888888888887"/>
  </r>
  <r>
    <x v="12"/>
    <x v="2"/>
    <n v="1.0708967447280799"/>
    <n v="10997"/>
    <n v="1.0269999999999999"/>
    <n v="3.0547222222222223"/>
  </r>
  <r>
    <x v="13"/>
    <x v="2"/>
    <n v="1.0727070569992001"/>
    <n v="8877"/>
    <n v="1.0286999999999999"/>
    <n v="2.4658333333333333"/>
  </r>
  <r>
    <x v="14"/>
    <x v="2"/>
    <n v="1.0768737792968699"/>
    <n v="8753"/>
    <n v="1.0348999999999999"/>
    <n v="2.4313888888888888"/>
  </r>
  <r>
    <x v="15"/>
    <x v="2"/>
    <n v="1.07408607006073"/>
    <n v="8505"/>
    <n v="1.032"/>
    <n v="2.3624999999999998"/>
  </r>
  <r>
    <x v="16"/>
    <x v="2"/>
    <n v="1.1095719337463299"/>
    <n v="8254"/>
    <n v="1.0723"/>
    <n v="2.2927777777777778"/>
  </r>
  <r>
    <x v="17"/>
    <x v="2"/>
    <n v="1.13844954967498"/>
    <n v="8051"/>
    <n v="1.1045"/>
    <n v="2.236388888888889"/>
  </r>
  <r>
    <x v="18"/>
    <x v="2"/>
    <n v="1.13623511791229"/>
    <n v="8040"/>
    <n v="1.0996999999999999"/>
    <n v="2.2333333333333334"/>
  </r>
  <r>
    <x v="19"/>
    <x v="2"/>
    <n v="1.1337159872055"/>
    <n v="8051"/>
    <n v="1.0968"/>
    <n v="2.236388888888889"/>
  </r>
  <r>
    <x v="20"/>
    <x v="2"/>
    <n v="1.1349464654922401"/>
    <n v="8026"/>
    <n v="1.0989"/>
    <n v="2.229444444444444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085BE2E-4FC7-4481-AEC4-8E79198B4B4B}" name="PivotTable1" cacheId="0" applyNumberFormats="0" applyBorderFormats="0" applyFontFormats="0" applyPatternFormats="0" applyAlignmentFormats="0" applyWidthHeightFormats="1" dataCaption="Values" updatedVersion="8" minRefreshableVersion="3" useAutoFormatting="1" colGrandTotals="0" itemPrintTitles="1" createdVersion="8" indent="0" outline="1" outlineData="1" multipleFieldFilters="0">
  <location ref="K2:N25" firstHeaderRow="1" firstDataRow="2" firstDataCol="1"/>
  <pivotFields count="6">
    <pivotField axis="axisRow" showAll="0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t="default"/>
      </items>
    </pivotField>
    <pivotField axis="axisCol" showAll="0">
      <items count="7">
        <item m="1" x="3"/>
        <item m="1" x="4"/>
        <item m="1" x="5"/>
        <item x="0"/>
        <item x="1"/>
        <item x="2"/>
        <item t="default"/>
      </items>
    </pivotField>
    <pivotField numFmtId="164" showAll="0"/>
    <pivotField showAll="0"/>
    <pivotField showAll="0"/>
    <pivotField dataField="1" numFmtId="165" showAll="0"/>
  </pivotFields>
  <rowFields count="1">
    <field x="0"/>
  </rowFields>
  <rowItems count="2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 t="grand">
      <x/>
    </i>
  </rowItems>
  <colFields count="1">
    <field x="1"/>
  </colFields>
  <colItems count="3">
    <i>
      <x v="3"/>
    </i>
    <i>
      <x v="4"/>
    </i>
    <i>
      <x v="5"/>
    </i>
  </colItems>
  <dataFields count="1">
    <dataField name="Sum of runtime (hr)" fld="5" baseField="0" baseItem="0" numFmtId="165"/>
  </dataFields>
  <formats count="1">
    <format dxfId="36">
      <pivotArea collapsedLevelsAreSubtotals="1" fieldPosition="0">
        <references count="1">
          <reference field="0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F202B6C-2EA2-4A50-88E3-04167B97D8A9}" name="Table1" displayName="Table1" ref="A1:F61" totalsRowShown="0" headerRowDxfId="35" dataDxfId="34">
  <autoFilter ref="A1:F61" xr:uid="{9F202B6C-2EA2-4A50-88E3-04167B97D8A9}"/>
  <tableColumns count="6">
    <tableColumn id="1" xr3:uid="{2E703F20-0CF9-4764-A30A-A88FD2E4B35C}" name="Name" dataDxfId="33"/>
    <tableColumn id="2" xr3:uid="{268BFF4B-057A-4DF5-A2CB-01FB6763A8BD}" name="runset" dataDxfId="32"/>
    <tableColumn id="3" xr3:uid="{BC01A815-9F06-440F-A23C-060853D6DA55}" name="eval/loss" dataDxfId="31"/>
    <tableColumn id="4" xr3:uid="{7221096C-4730-4145-9A62-567EB5478AEE}" name="Runtime" dataDxfId="30"/>
    <tableColumn id="5" xr3:uid="{47145FC0-B006-49E0-A94B-62635FA4F89A}" name="train/loss" dataDxfId="29"/>
    <tableColumn id="6" xr3:uid="{88428E59-8D0A-4970-87D7-50C3EB5246D5}" name="runtime (hr)" dataDxfId="28">
      <calculatedColumnFormula>D2/3600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A42AC00-1043-4CE4-8F3D-0D6EA6BFFF04}" name="Table2" displayName="Table2" ref="F7:J90" totalsRowShown="0">
  <autoFilter ref="F7:J90" xr:uid="{CA42AC00-1043-4CE4-8F3D-0D6EA6BFFF04}"/>
  <tableColumns count="5">
    <tableColumn id="1" xr3:uid="{5FBD9B81-6578-4DB3-9877-B0FF11D1C32A}" name="# Count" dataDxfId="27"/>
    <tableColumn id="2" xr3:uid="{4102517A-CAA3-4A0C-91D9-07D876A4BAF6}" name="Param Name" dataDxfId="26"/>
    <tableColumn id="3" xr3:uid="{3B804985-2CDB-4C03-8C3C-0EC3FCA33B87}" name="Shape" dataDxfId="25"/>
    <tableColumn id="4" xr3:uid="{696DD241-A595-40D2-A551-96EB37C491E8}" name="Activated ratio" dataDxfId="24"/>
    <tableColumn id="5" xr3:uid="{D233E65D-A971-404E-8765-BAFC01CEB24B}" name="activated" dataDxfId="23">
      <calculatedColumnFormula>Table2[[#This Row],[Activated ratio]]*Table2[[#This Row],['# Count]]</calculatedColumnFormula>
    </tableColumn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7126CE2-283A-4B91-AD7E-CCE335ECAE5C}" name="Table3" displayName="Table3" ref="G10:K110" totalsRowCount="1">
  <autoFilter ref="G10:K109" xr:uid="{27126CE2-283A-4B91-AD7E-CCE335ECAE5C}"/>
  <tableColumns count="5">
    <tableColumn id="1" xr3:uid="{CE379DBE-2D5C-4847-82A0-C88BA660DC6F}" name="# Count" totalsRowFunction="sum"/>
    <tableColumn id="2" xr3:uid="{F4A0F955-7330-469E-8F09-3687F1D08C7F}" name="Param Name"/>
    <tableColumn id="3" xr3:uid="{85615E98-0DC1-41E7-9AED-BAC7264E1D68}" name="Shape"/>
    <tableColumn id="4" xr3:uid="{D9AF65B1-1580-43BB-90CA-D85F5D1C52B2}" name="activated ratio"/>
    <tableColumn id="5" xr3:uid="{D007D392-DF50-474A-A24E-1CCEADE02D19}" name="activated" totalsRowFunction="sum" totalsRowDxfId="22">
      <calculatedColumnFormula>Table3[[#This Row],['# Count]]*Table3[[#This Row],[activated ratio]]</calculatedColumnFormula>
    </tableColumn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CC83A93-D7A3-48BB-82DF-ABB9AEDC1DA7}" name="Table5" displayName="Table5" ref="G7:K107" totalsRowCount="1" headerRowCellStyle="Neutral">
  <autoFilter ref="G7:K106" xr:uid="{5CC83A93-D7A3-48BB-82DF-ABB9AEDC1DA7}"/>
  <tableColumns count="5">
    <tableColumn id="1" xr3:uid="{FDD2A0C3-AB06-4764-8A81-C7A5ACD7B33C}" name="# Count" totalsRowFunction="sum"/>
    <tableColumn id="2" xr3:uid="{913E8063-351B-4A07-928A-36352502B158}" name="Param Name"/>
    <tableColumn id="3" xr3:uid="{F3BC5FC7-EC00-4DA4-861F-CD035BC4A4F8}" name="Shape"/>
    <tableColumn id="4" xr3:uid="{372E1EFE-D775-4E11-B1FC-DD155C3D8F87}" name="activated ratio"/>
    <tableColumn id="5" xr3:uid="{41DF6F0A-81B2-4E28-AC81-DDBFC30F7D92}" name="activated" totalsRowFunction="sum" dataDxfId="21" totalsRowDxfId="20">
      <calculatedColumnFormula>Table5[[#This Row],[activated ratio]]*Table5[[#This Row],['# Count]]</calculatedColumnFormula>
    </tableColumn>
  </tableColumns>
  <tableStyleInfo name="TableStyleLight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FA78E05-296D-4E3F-B0C6-85B0794B348D}" name="Table6" displayName="Table6" ref="E8:I108" totalsRowCount="1" headerRowCellStyle="Good">
  <autoFilter ref="E8:I107" xr:uid="{FFA78E05-296D-4E3F-B0C6-85B0794B348D}"/>
  <tableColumns count="5">
    <tableColumn id="1" xr3:uid="{E3D60772-2F44-4C79-A665-8B7B6433B22A}" name="# Count" totalsRowFunction="sum"/>
    <tableColumn id="2" xr3:uid="{0C729337-6755-4939-AF78-3E5AAE19A81E}" name="Param Name"/>
    <tableColumn id="3" xr3:uid="{98A47D9B-E06A-4BEB-BCB9-1C45944322FF}" name="Shape"/>
    <tableColumn id="4" xr3:uid="{DEE8D6AF-1A6F-4BE2-A437-E336A4B7BD89}" name="activated ratio"/>
    <tableColumn id="5" xr3:uid="{26C62907-0C7C-4848-A5F7-5A92C81A5173}" name="activated" totalsRowFunction="sum" dataDxfId="19" totalsRowDxfId="18">
      <calculatedColumnFormula>Table6[[#This Row],['# Count]]*Table6[[#This Row],[activated ratio]]</calculatedColumnFormula>
    </tableColumn>
  </tableColumns>
  <tableStyleInfo name="TableStyleLight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204191B-ACC3-41A6-A0AF-B8605260B3B0}" name="Table4" displayName="Table4" ref="G8:K108" totalsRowCount="1" headerRowCellStyle="Good">
  <autoFilter ref="G8:K107" xr:uid="{0204191B-ACC3-41A6-A0AF-B8605260B3B0}"/>
  <tableColumns count="5">
    <tableColumn id="1" xr3:uid="{DB759A39-8F04-4924-9E58-052AA3E8B47F}" name="# Count" totalsRowFunction="sum"/>
    <tableColumn id="2" xr3:uid="{0DCA078A-FCC6-4EF5-80BE-E4A541016787}" name="Param Name"/>
    <tableColumn id="3" xr3:uid="{58AA13DA-5542-44F5-A103-A3917F588E65}" name="Shape"/>
    <tableColumn id="4" xr3:uid="{A12C71F4-9078-456B-8CC3-0F99747C0B81}" name="activated ratio"/>
    <tableColumn id="5" xr3:uid="{79F410B5-334E-4D0D-AB14-3C129679B635}" name="Activated" totalsRowFunction="sum" dataDxfId="17" totalsRowDxfId="16">
      <calculatedColumnFormula>Table4[[#This Row],['# Count]]*Table4[[#This Row],[activated ratio]]</calculatedColumnFormula>
    </tableColumn>
  </tableColumns>
  <tableStyleInfo name="TableStyleLight8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EC375CA-B479-41BF-988E-8DA65132D816}" name="Table7" displayName="Table7" ref="G9:K109" totalsRowCount="1" headerRowDxfId="15" dataDxfId="14">
  <autoFilter ref="G9:K108" xr:uid="{BEC375CA-B479-41BF-988E-8DA65132D816}"/>
  <tableColumns count="5">
    <tableColumn id="1" xr3:uid="{9CECDC89-9949-4FBF-8FFB-98F56D6504E8}" name="# Count" totalsRowFunction="sum" dataDxfId="13" totalsRowDxfId="12"/>
    <tableColumn id="2" xr3:uid="{55AF8917-ADDE-4908-9884-261F2BF8158E}" name="Param Name" dataDxfId="11" totalsRowDxfId="10"/>
    <tableColumn id="3" xr3:uid="{F6434E62-29C2-4770-840E-DB1339EA741F}" name="Shape" dataDxfId="9" totalsRowDxfId="8"/>
    <tableColumn id="4" xr3:uid="{C48E76F7-DFD2-4AAF-B2BC-04D3D295C7AE}" name="activated ratio" dataDxfId="7" totalsRowDxfId="6"/>
    <tableColumn id="5" xr3:uid="{9704FDE1-8179-49DB-BC5A-4BF1AEB59F41}" name="activated" totalsRowFunction="sum" dataDxfId="5" totalsRowDxfId="4">
      <calculatedColumnFormula>Table7[[#This Row],[activated ratio]]*Table7[[#This Row],['# Count]]</calculatedColumnFormula>
    </tableColumn>
  </tableColumns>
  <tableStyleInfo name="TableStyleLight8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5067071-C9B3-4BCF-A997-7F5D33117FC7}" name="Table8" displayName="Table8" ref="F7:J107" totalsRowCount="1">
  <autoFilter ref="F7:J106" xr:uid="{85067071-C9B3-4BCF-A997-7F5D33117FC7}"/>
  <tableColumns count="5">
    <tableColumn id="1" xr3:uid="{ADF5ED22-EAA6-4362-965D-76DE2AF6BF31}" name="# Count" totalsRowFunction="sum"/>
    <tableColumn id="2" xr3:uid="{CD609FEF-1C6A-453C-AD76-11D81C743C66}" name="Param Name"/>
    <tableColumn id="3" xr3:uid="{727FFE1F-2743-4A9C-91A1-13EE7EBB153C}" name="Shape"/>
    <tableColumn id="4" xr3:uid="{AFD16D1F-1699-473A-953E-354E124F4E5B}" name="activated ratio"/>
    <tableColumn id="5" xr3:uid="{F5A23089-0585-416F-BE1D-494E40D15B4A}" name="activated" totalsRowFunction="sum" dataDxfId="3" totalsRowDxfId="2">
      <calculatedColumnFormula>Table8[[#This Row],[activated ratio]]*Table8[[#This Row],['# Count]]</calculatedColumnFormula>
    </tableColumn>
  </tableColumns>
  <tableStyleInfo name="TableStyleLight8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D51D5E3-4BFC-4A55-AC91-162E8DC2109D}" name="Table9" displayName="Table9" ref="H11:L111" totalsRowCount="1">
  <autoFilter ref="H11:L110" xr:uid="{0D51D5E3-4BFC-4A55-AC91-162E8DC2109D}"/>
  <tableColumns count="5">
    <tableColumn id="1" xr3:uid="{FE97F874-8DC8-4CC4-8D52-A4976F628149}" name="# Count" totalsRowFunction="sum"/>
    <tableColumn id="2" xr3:uid="{6AD44C64-B75F-4A7F-A541-1095079F75F1}" name="Param Name"/>
    <tableColumn id="3" xr3:uid="{3C69FACD-CB67-4E53-AEF8-E5217E441057}" name="Shape"/>
    <tableColumn id="4" xr3:uid="{F9A2D1DC-9591-430B-85E4-FBD39CE65EC4}" name="activated ratio"/>
    <tableColumn id="5" xr3:uid="{06295578-B085-4037-B7E9-121D5C4254C0}" name="activated" totalsRowFunction="sum" dataDxfId="1" totalsRowDxfId="0">
      <calculatedColumnFormula>Table9[[#This Row],[activated ratio]]*Table9[[#This Row],['# Count]]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DCDA4-EEC2-4AFF-9E89-CD3F4FEFBCCB}">
  <dimension ref="A1:I23"/>
  <sheetViews>
    <sheetView workbookViewId="0">
      <selection activeCell="F42" sqref="F42"/>
    </sheetView>
  </sheetViews>
  <sheetFormatPr defaultRowHeight="15" x14ac:dyDescent="0.25"/>
  <cols>
    <col min="1" max="1" width="25.5703125" bestFit="1" customWidth="1"/>
    <col min="2" max="2" width="12" bestFit="1" customWidth="1"/>
    <col min="3" max="3" width="9.85546875" bestFit="1" customWidth="1"/>
    <col min="4" max="4" width="12.140625" bestFit="1" customWidth="1"/>
    <col min="5" max="5" width="18.42578125" bestFit="1" customWidth="1"/>
    <col min="6" max="6" width="19.42578125" bestFit="1" customWidth="1"/>
    <col min="7" max="7" width="16.140625" bestFit="1" customWidth="1"/>
    <col min="8" max="8" width="8.28515625" bestFit="1" customWidth="1"/>
    <col min="9" max="9" width="9.5703125" bestFit="1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25">
      <c r="A2" t="s">
        <v>9</v>
      </c>
      <c r="B2">
        <v>1.11134445667266</v>
      </c>
      <c r="C2" t="s">
        <v>10</v>
      </c>
      <c r="G2">
        <v>15682</v>
      </c>
      <c r="H2">
        <v>6807</v>
      </c>
      <c r="I2">
        <v>1.0844</v>
      </c>
    </row>
    <row r="3" spans="1:9" x14ac:dyDescent="0.25">
      <c r="A3" t="s">
        <v>11</v>
      </c>
      <c r="B3">
        <v>1.11118912696838</v>
      </c>
      <c r="C3" t="s">
        <v>10</v>
      </c>
      <c r="D3">
        <v>1</v>
      </c>
      <c r="E3">
        <v>1</v>
      </c>
      <c r="F3">
        <v>0</v>
      </c>
      <c r="G3">
        <v>15682</v>
      </c>
      <c r="H3">
        <v>6791</v>
      </c>
      <c r="I3">
        <v>1.0832999999999999</v>
      </c>
    </row>
    <row r="4" spans="1:9" x14ac:dyDescent="0.25">
      <c r="A4" t="s">
        <v>12</v>
      </c>
      <c r="B4">
        <v>1.12694776058197</v>
      </c>
      <c r="C4" t="s">
        <v>13</v>
      </c>
      <c r="D4">
        <v>8</v>
      </c>
      <c r="E4">
        <v>1</v>
      </c>
      <c r="F4">
        <v>0</v>
      </c>
      <c r="G4">
        <v>15682</v>
      </c>
      <c r="H4">
        <v>10306</v>
      </c>
      <c r="I4">
        <v>1.0932999999999999</v>
      </c>
    </row>
    <row r="5" spans="1:9" x14ac:dyDescent="0.25">
      <c r="A5" t="s">
        <v>14</v>
      </c>
      <c r="B5">
        <v>1.1370919942855799</v>
      </c>
      <c r="C5" t="s">
        <v>13</v>
      </c>
      <c r="D5">
        <v>8</v>
      </c>
      <c r="E5">
        <v>1</v>
      </c>
      <c r="F5">
        <v>0</v>
      </c>
      <c r="G5">
        <v>15682</v>
      </c>
      <c r="H5">
        <v>10297</v>
      </c>
      <c r="I5">
        <v>1.1208</v>
      </c>
    </row>
    <row r="6" spans="1:9" x14ac:dyDescent="0.25">
      <c r="A6" t="s">
        <v>15</v>
      </c>
      <c r="B6">
        <v>1.1295984983444201</v>
      </c>
      <c r="C6" t="s">
        <v>13</v>
      </c>
      <c r="D6">
        <v>8</v>
      </c>
      <c r="E6">
        <v>1</v>
      </c>
      <c r="F6">
        <v>0</v>
      </c>
      <c r="G6">
        <v>15682</v>
      </c>
      <c r="H6">
        <v>10035</v>
      </c>
      <c r="I6">
        <v>1.0992999999999999</v>
      </c>
    </row>
    <row r="7" spans="1:9" x14ac:dyDescent="0.25">
      <c r="A7" t="s">
        <v>16</v>
      </c>
      <c r="B7">
        <v>1.11804747581481</v>
      </c>
      <c r="C7" t="s">
        <v>17</v>
      </c>
      <c r="D7">
        <v>2</v>
      </c>
      <c r="E7">
        <v>1</v>
      </c>
      <c r="F7">
        <v>0</v>
      </c>
      <c r="G7">
        <v>15682</v>
      </c>
      <c r="H7">
        <v>8395</v>
      </c>
      <c r="I7">
        <v>1.0900000000000001</v>
      </c>
    </row>
    <row r="8" spans="1:9" x14ac:dyDescent="0.25">
      <c r="A8" t="s">
        <v>18</v>
      </c>
      <c r="B8">
        <v>1.0825556516647299</v>
      </c>
      <c r="C8" t="s">
        <v>19</v>
      </c>
      <c r="D8">
        <v>4</v>
      </c>
      <c r="E8">
        <v>1</v>
      </c>
      <c r="F8">
        <v>0</v>
      </c>
      <c r="G8">
        <v>31364</v>
      </c>
      <c r="H8">
        <v>16875</v>
      </c>
      <c r="I8">
        <v>0.99390000000000001</v>
      </c>
    </row>
    <row r="9" spans="1:9" x14ac:dyDescent="0.25">
      <c r="A9" t="s">
        <v>20</v>
      </c>
      <c r="B9">
        <v>1.1246691942214899</v>
      </c>
      <c r="C9" t="s">
        <v>19</v>
      </c>
      <c r="D9">
        <v>4</v>
      </c>
      <c r="E9">
        <v>1</v>
      </c>
      <c r="F9">
        <v>0</v>
      </c>
      <c r="G9">
        <v>15682</v>
      </c>
      <c r="H9">
        <v>8867</v>
      </c>
      <c r="I9">
        <v>1.0959000000000001</v>
      </c>
    </row>
    <row r="10" spans="1:9" x14ac:dyDescent="0.25">
      <c r="A10" t="s">
        <v>21</v>
      </c>
      <c r="B10">
        <v>1.1295984983444201</v>
      </c>
      <c r="C10" t="s">
        <v>13</v>
      </c>
      <c r="D10">
        <v>8</v>
      </c>
      <c r="E10">
        <v>1</v>
      </c>
      <c r="F10">
        <v>0</v>
      </c>
      <c r="G10">
        <v>15682</v>
      </c>
      <c r="H10">
        <v>10085</v>
      </c>
      <c r="I10">
        <v>1.0992999999999999</v>
      </c>
    </row>
    <row r="11" spans="1:9" x14ac:dyDescent="0.25">
      <c r="A11" t="s">
        <v>22</v>
      </c>
      <c r="B11">
        <v>1.1377271413803101</v>
      </c>
      <c r="C11" t="s">
        <v>23</v>
      </c>
      <c r="D11">
        <v>16</v>
      </c>
      <c r="E11">
        <v>1</v>
      </c>
      <c r="F11">
        <v>0</v>
      </c>
      <c r="G11">
        <v>15682</v>
      </c>
      <c r="H11">
        <v>12924</v>
      </c>
      <c r="I11">
        <v>1.1015999999999999</v>
      </c>
    </row>
    <row r="12" spans="1:9" x14ac:dyDescent="0.25">
      <c r="A12" t="s">
        <v>24</v>
      </c>
      <c r="B12">
        <v>1.1295984983444201</v>
      </c>
      <c r="C12" t="s">
        <v>13</v>
      </c>
      <c r="D12">
        <v>8</v>
      </c>
      <c r="E12">
        <v>1</v>
      </c>
      <c r="F12">
        <v>0</v>
      </c>
      <c r="G12">
        <v>15682</v>
      </c>
      <c r="H12">
        <v>10047</v>
      </c>
      <c r="I12">
        <v>1.0992999999999999</v>
      </c>
    </row>
    <row r="13" spans="1:9" x14ac:dyDescent="0.25">
      <c r="A13" t="s">
        <v>25</v>
      </c>
      <c r="B13">
        <v>1.0658214092254601</v>
      </c>
      <c r="C13" t="s">
        <v>13</v>
      </c>
      <c r="D13">
        <v>16</v>
      </c>
      <c r="E13">
        <v>2</v>
      </c>
      <c r="F13">
        <v>0</v>
      </c>
      <c r="G13">
        <v>15682</v>
      </c>
      <c r="H13">
        <v>12256</v>
      </c>
      <c r="I13">
        <v>1.0236000000000001</v>
      </c>
    </row>
    <row r="14" spans="1:9" x14ac:dyDescent="0.25">
      <c r="A14" t="s">
        <v>26</v>
      </c>
      <c r="B14">
        <v>1.0581374168395901</v>
      </c>
      <c r="C14" t="s">
        <v>13</v>
      </c>
      <c r="D14">
        <v>32</v>
      </c>
      <c r="E14">
        <v>4</v>
      </c>
      <c r="F14">
        <v>0</v>
      </c>
      <c r="G14">
        <v>15682</v>
      </c>
      <c r="H14">
        <v>17931</v>
      </c>
      <c r="I14">
        <v>1.0144</v>
      </c>
    </row>
    <row r="15" spans="1:9" x14ac:dyDescent="0.25">
      <c r="A15" t="s">
        <v>27</v>
      </c>
      <c r="B15">
        <v>1.05835402011871</v>
      </c>
      <c r="C15" t="s">
        <v>13</v>
      </c>
      <c r="D15">
        <v>64</v>
      </c>
      <c r="E15">
        <v>8</v>
      </c>
      <c r="F15">
        <v>0</v>
      </c>
      <c r="G15">
        <v>15682</v>
      </c>
      <c r="H15">
        <v>27565</v>
      </c>
      <c r="I15">
        <v>1.0149999999999999</v>
      </c>
    </row>
    <row r="16" spans="1:9" x14ac:dyDescent="0.25">
      <c r="A16" t="s">
        <v>28</v>
      </c>
      <c r="B16">
        <v>1.0581374168395901</v>
      </c>
      <c r="C16" t="s">
        <v>13</v>
      </c>
      <c r="D16">
        <v>32</v>
      </c>
      <c r="E16">
        <v>4</v>
      </c>
      <c r="F16">
        <v>0</v>
      </c>
      <c r="G16">
        <v>15682</v>
      </c>
      <c r="H16">
        <v>17921</v>
      </c>
      <c r="I16">
        <v>1.0144</v>
      </c>
    </row>
    <row r="17" spans="1:9" x14ac:dyDescent="0.25">
      <c r="A17" t="s">
        <v>29</v>
      </c>
      <c r="B17">
        <v>1.0572606325149501</v>
      </c>
      <c r="C17" t="s">
        <v>13</v>
      </c>
      <c r="D17">
        <v>31</v>
      </c>
      <c r="E17">
        <v>3</v>
      </c>
      <c r="F17">
        <v>1</v>
      </c>
      <c r="G17">
        <v>15682</v>
      </c>
      <c r="H17">
        <v>17234</v>
      </c>
      <c r="I17">
        <v>1.0141</v>
      </c>
    </row>
    <row r="18" spans="1:9" x14ac:dyDescent="0.25">
      <c r="A18" t="s">
        <v>30</v>
      </c>
      <c r="B18">
        <v>1.05996394157409</v>
      </c>
      <c r="C18" t="s">
        <v>13</v>
      </c>
      <c r="D18">
        <v>30</v>
      </c>
      <c r="E18">
        <v>2</v>
      </c>
      <c r="F18">
        <v>2</v>
      </c>
      <c r="G18">
        <v>15682</v>
      </c>
      <c r="H18">
        <v>16477</v>
      </c>
      <c r="I18">
        <v>1.0181</v>
      </c>
    </row>
    <row r="19" spans="1:9" x14ac:dyDescent="0.25">
      <c r="A19" t="s">
        <v>31</v>
      </c>
      <c r="B19">
        <v>1.1013923883438099</v>
      </c>
      <c r="C19" t="s">
        <v>13</v>
      </c>
      <c r="D19">
        <v>29</v>
      </c>
      <c r="E19">
        <v>1</v>
      </c>
      <c r="F19">
        <v>3</v>
      </c>
      <c r="G19">
        <v>15682</v>
      </c>
      <c r="H19">
        <v>15682</v>
      </c>
      <c r="I19">
        <v>1.0670999999999999</v>
      </c>
    </row>
    <row r="20" spans="1:9" x14ac:dyDescent="0.25">
      <c r="A20" t="s">
        <v>32</v>
      </c>
      <c r="B20">
        <v>1.1316434144973699</v>
      </c>
      <c r="C20" t="s">
        <v>13</v>
      </c>
      <c r="D20">
        <v>8</v>
      </c>
      <c r="E20">
        <v>1</v>
      </c>
      <c r="F20">
        <v>0</v>
      </c>
      <c r="G20">
        <v>15682</v>
      </c>
      <c r="H20">
        <v>10001</v>
      </c>
      <c r="I20">
        <v>1.1021000000000001</v>
      </c>
    </row>
    <row r="21" spans="1:9" x14ac:dyDescent="0.25">
      <c r="A21" t="s">
        <v>33</v>
      </c>
      <c r="B21">
        <v>1.1320948600769001</v>
      </c>
      <c r="C21" t="s">
        <v>13</v>
      </c>
      <c r="D21">
        <v>8</v>
      </c>
      <c r="E21">
        <v>1</v>
      </c>
      <c r="F21">
        <v>0</v>
      </c>
      <c r="G21">
        <v>15682</v>
      </c>
      <c r="H21">
        <v>9958</v>
      </c>
      <c r="I21">
        <v>1.1024</v>
      </c>
    </row>
    <row r="22" spans="1:9" x14ac:dyDescent="0.25">
      <c r="A22" t="s">
        <v>34</v>
      </c>
      <c r="B22">
        <v>1.1334214210510201</v>
      </c>
      <c r="C22" t="s">
        <v>13</v>
      </c>
      <c r="D22">
        <v>8</v>
      </c>
      <c r="E22">
        <v>1</v>
      </c>
      <c r="F22">
        <v>0</v>
      </c>
      <c r="G22">
        <v>15682</v>
      </c>
      <c r="H22">
        <v>9864</v>
      </c>
      <c r="I22">
        <v>1.1033999999999999</v>
      </c>
    </row>
    <row r="23" spans="1:9" x14ac:dyDescent="0.25">
      <c r="A23" t="s">
        <v>35</v>
      </c>
      <c r="B23">
        <v>1.1313065290451001</v>
      </c>
      <c r="C23" t="s">
        <v>13</v>
      </c>
      <c r="D23">
        <v>8</v>
      </c>
      <c r="E23">
        <v>1</v>
      </c>
      <c r="F23">
        <v>0</v>
      </c>
      <c r="G23">
        <v>15682</v>
      </c>
      <c r="H23">
        <v>9906</v>
      </c>
      <c r="I23">
        <v>1.0993999999999999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04217-6324-404F-AA94-D2BC10595591}">
  <dimension ref="A1:I20"/>
  <sheetViews>
    <sheetView workbookViewId="0">
      <selection activeCell="E20" sqref="E20"/>
    </sheetView>
  </sheetViews>
  <sheetFormatPr defaultRowHeight="15" x14ac:dyDescent="0.25"/>
  <cols>
    <col min="1" max="1" width="24.7109375" bestFit="1" customWidth="1"/>
    <col min="2" max="2" width="12" bestFit="1" customWidth="1"/>
    <col min="3" max="3" width="9.85546875" bestFit="1" customWidth="1"/>
    <col min="4" max="4" width="12.140625" bestFit="1" customWidth="1"/>
    <col min="5" max="5" width="18.42578125" bestFit="1" customWidth="1"/>
    <col min="6" max="6" width="19.42578125" bestFit="1" customWidth="1"/>
    <col min="7" max="7" width="16.140625" bestFit="1" customWidth="1"/>
    <col min="8" max="8" width="8.28515625" bestFit="1" customWidth="1"/>
    <col min="9" max="9" width="9.5703125" bestFit="1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25">
      <c r="A2" t="s">
        <v>36</v>
      </c>
      <c r="B2">
        <v>1.1323504447937001</v>
      </c>
      <c r="C2" t="s">
        <v>13</v>
      </c>
      <c r="D2">
        <v>8</v>
      </c>
      <c r="E2">
        <v>1</v>
      </c>
      <c r="F2">
        <v>0</v>
      </c>
      <c r="G2">
        <v>15682</v>
      </c>
      <c r="H2">
        <v>8552</v>
      </c>
      <c r="I2">
        <v>1.1006</v>
      </c>
    </row>
    <row r="3" spans="1:9" x14ac:dyDescent="0.25">
      <c r="A3" t="s">
        <v>37</v>
      </c>
      <c r="B3">
        <v>1.14303863048553</v>
      </c>
      <c r="C3" t="s">
        <v>13</v>
      </c>
      <c r="D3">
        <v>8</v>
      </c>
      <c r="E3">
        <v>1</v>
      </c>
      <c r="F3">
        <v>0</v>
      </c>
      <c r="G3">
        <v>15682</v>
      </c>
      <c r="H3">
        <v>8578</v>
      </c>
      <c r="I3">
        <v>1.129</v>
      </c>
    </row>
    <row r="4" spans="1:9" x14ac:dyDescent="0.25">
      <c r="A4" t="s">
        <v>38</v>
      </c>
      <c r="B4">
        <v>1.1407160758972099</v>
      </c>
      <c r="C4" t="s">
        <v>13</v>
      </c>
      <c r="D4">
        <v>8</v>
      </c>
      <c r="E4">
        <v>1</v>
      </c>
      <c r="F4">
        <v>0</v>
      </c>
      <c r="G4">
        <v>15682</v>
      </c>
      <c r="H4">
        <v>8617</v>
      </c>
      <c r="I4">
        <v>1.1076999999999999</v>
      </c>
    </row>
    <row r="5" spans="1:9" x14ac:dyDescent="0.25">
      <c r="A5" t="s">
        <v>39</v>
      </c>
      <c r="B5">
        <v>1.12241566181182</v>
      </c>
      <c r="C5" t="s">
        <v>17</v>
      </c>
      <c r="D5">
        <v>2</v>
      </c>
      <c r="E5">
        <v>1</v>
      </c>
      <c r="F5">
        <v>0</v>
      </c>
      <c r="G5">
        <v>15682</v>
      </c>
      <c r="H5">
        <v>8071</v>
      </c>
      <c r="I5">
        <v>1.0947</v>
      </c>
    </row>
    <row r="6" spans="1:9" x14ac:dyDescent="0.25">
      <c r="A6" t="s">
        <v>40</v>
      </c>
      <c r="B6">
        <v>1.13310766220092</v>
      </c>
      <c r="C6" t="s">
        <v>19</v>
      </c>
      <c r="D6">
        <v>4</v>
      </c>
      <c r="E6">
        <v>1</v>
      </c>
      <c r="F6">
        <v>0</v>
      </c>
      <c r="G6">
        <v>15682</v>
      </c>
      <c r="H6">
        <v>8259</v>
      </c>
      <c r="I6">
        <v>1.1032</v>
      </c>
    </row>
    <row r="7" spans="1:9" x14ac:dyDescent="0.25">
      <c r="A7" t="s">
        <v>41</v>
      </c>
      <c r="B7">
        <v>1.1407160758972099</v>
      </c>
      <c r="C7" t="s">
        <v>13</v>
      </c>
      <c r="D7">
        <v>8</v>
      </c>
      <c r="E7">
        <v>1</v>
      </c>
      <c r="F7">
        <v>0</v>
      </c>
      <c r="G7">
        <v>15682</v>
      </c>
      <c r="H7">
        <v>8581</v>
      </c>
      <c r="I7">
        <v>1.1076999999999999</v>
      </c>
    </row>
    <row r="8" spans="1:9" x14ac:dyDescent="0.25">
      <c r="A8" t="s">
        <v>42</v>
      </c>
      <c r="B8">
        <v>1.1485748291015601</v>
      </c>
      <c r="C8" t="s">
        <v>23</v>
      </c>
      <c r="D8">
        <v>16</v>
      </c>
      <c r="E8">
        <v>1</v>
      </c>
      <c r="F8">
        <v>0</v>
      </c>
      <c r="G8">
        <v>15682</v>
      </c>
      <c r="H8">
        <v>9221</v>
      </c>
      <c r="I8">
        <v>1.1133999999999999</v>
      </c>
    </row>
    <row r="9" spans="1:9" x14ac:dyDescent="0.25">
      <c r="A9" t="s">
        <v>43</v>
      </c>
      <c r="B9">
        <v>1.1407160758972099</v>
      </c>
      <c r="C9" t="s">
        <v>13</v>
      </c>
      <c r="D9">
        <v>8</v>
      </c>
      <c r="E9">
        <v>1</v>
      </c>
      <c r="F9">
        <v>0</v>
      </c>
      <c r="G9">
        <v>15682</v>
      </c>
      <c r="H9">
        <v>8617</v>
      </c>
      <c r="I9">
        <v>1.1076999999999999</v>
      </c>
    </row>
    <row r="10" spans="1:9" x14ac:dyDescent="0.25">
      <c r="A10" t="s">
        <v>44</v>
      </c>
      <c r="B10">
        <v>1.0782896280288601</v>
      </c>
      <c r="C10" t="s">
        <v>13</v>
      </c>
      <c r="D10">
        <v>16</v>
      </c>
      <c r="E10">
        <v>2</v>
      </c>
      <c r="F10">
        <v>0</v>
      </c>
      <c r="G10">
        <v>15682</v>
      </c>
      <c r="H10">
        <v>9303</v>
      </c>
      <c r="I10">
        <v>1.0401</v>
      </c>
    </row>
    <row r="11" spans="1:9" x14ac:dyDescent="0.25">
      <c r="A11" t="s">
        <v>45</v>
      </c>
      <c r="B11">
        <v>1.07253313064575</v>
      </c>
      <c r="C11" t="s">
        <v>13</v>
      </c>
      <c r="D11">
        <v>32</v>
      </c>
      <c r="E11">
        <v>4</v>
      </c>
      <c r="F11">
        <v>0</v>
      </c>
      <c r="G11">
        <v>15682</v>
      </c>
      <c r="H11">
        <v>10792</v>
      </c>
      <c r="I11">
        <v>1.034</v>
      </c>
    </row>
    <row r="12" spans="1:9" x14ac:dyDescent="0.25">
      <c r="A12" t="s">
        <v>46</v>
      </c>
      <c r="B12">
        <v>1.0703152418136499</v>
      </c>
      <c r="C12" t="s">
        <v>13</v>
      </c>
      <c r="D12">
        <v>64</v>
      </c>
      <c r="E12">
        <v>8</v>
      </c>
      <c r="F12">
        <v>0</v>
      </c>
      <c r="G12">
        <v>15682</v>
      </c>
      <c r="H12">
        <v>14999</v>
      </c>
      <c r="I12">
        <v>1.0306</v>
      </c>
    </row>
    <row r="13" spans="1:9" x14ac:dyDescent="0.25">
      <c r="A13" t="s">
        <v>47</v>
      </c>
      <c r="B13">
        <v>1.07376980781555</v>
      </c>
      <c r="C13" t="s">
        <v>13</v>
      </c>
      <c r="D13">
        <v>32</v>
      </c>
      <c r="E13">
        <v>4</v>
      </c>
      <c r="F13">
        <v>0</v>
      </c>
      <c r="G13">
        <v>15682</v>
      </c>
      <c r="H13">
        <v>10781</v>
      </c>
      <c r="I13">
        <v>1.0342</v>
      </c>
    </row>
    <row r="14" spans="1:9" x14ac:dyDescent="0.25">
      <c r="A14" t="s">
        <v>48</v>
      </c>
      <c r="B14">
        <v>1.0754539966583201</v>
      </c>
      <c r="C14" t="s">
        <v>13</v>
      </c>
      <c r="D14">
        <v>31</v>
      </c>
      <c r="E14">
        <v>3</v>
      </c>
      <c r="F14">
        <v>1</v>
      </c>
      <c r="G14">
        <v>15682</v>
      </c>
      <c r="H14">
        <v>10442</v>
      </c>
      <c r="I14">
        <v>1.0373000000000001</v>
      </c>
    </row>
    <row r="15" spans="1:9" x14ac:dyDescent="0.25">
      <c r="A15" t="s">
        <v>49</v>
      </c>
      <c r="B15">
        <v>1.0731346607208201</v>
      </c>
      <c r="C15" t="s">
        <v>13</v>
      </c>
      <c r="D15">
        <v>30</v>
      </c>
      <c r="E15">
        <v>2</v>
      </c>
      <c r="F15">
        <v>2</v>
      </c>
      <c r="G15">
        <v>15682</v>
      </c>
      <c r="H15">
        <v>9952</v>
      </c>
      <c r="I15">
        <v>1.0363</v>
      </c>
    </row>
    <row r="16" spans="1:9" x14ac:dyDescent="0.25">
      <c r="A16" t="s">
        <v>50</v>
      </c>
      <c r="B16">
        <v>1.10969054698944</v>
      </c>
      <c r="C16" t="s">
        <v>13</v>
      </c>
      <c r="D16">
        <v>29</v>
      </c>
      <c r="E16">
        <v>1</v>
      </c>
      <c r="F16">
        <v>3</v>
      </c>
      <c r="G16">
        <v>15682</v>
      </c>
      <c r="H16">
        <v>9525</v>
      </c>
      <c r="I16">
        <v>1.0783</v>
      </c>
    </row>
    <row r="17" spans="1:9" x14ac:dyDescent="0.25">
      <c r="A17" t="s">
        <v>51</v>
      </c>
      <c r="B17">
        <v>1.13574850559234</v>
      </c>
      <c r="C17" t="s">
        <v>13</v>
      </c>
      <c r="D17">
        <v>8</v>
      </c>
      <c r="E17">
        <v>1</v>
      </c>
      <c r="F17">
        <v>0</v>
      </c>
      <c r="G17">
        <v>15682</v>
      </c>
      <c r="H17">
        <v>8859</v>
      </c>
      <c r="I17">
        <v>1.1079000000000001</v>
      </c>
    </row>
    <row r="18" spans="1:9" x14ac:dyDescent="0.25">
      <c r="A18" t="s">
        <v>52</v>
      </c>
      <c r="B18">
        <v>1.1354947090148899</v>
      </c>
      <c r="C18" t="s">
        <v>13</v>
      </c>
      <c r="D18">
        <v>8</v>
      </c>
      <c r="E18">
        <v>1</v>
      </c>
      <c r="F18">
        <v>0</v>
      </c>
      <c r="G18">
        <v>15682</v>
      </c>
      <c r="H18">
        <v>8722</v>
      </c>
      <c r="I18">
        <v>1.1060000000000001</v>
      </c>
    </row>
    <row r="19" spans="1:9" x14ac:dyDescent="0.25">
      <c r="A19" t="s">
        <v>53</v>
      </c>
      <c r="B19">
        <v>1.1346573829650799</v>
      </c>
      <c r="C19" t="s">
        <v>13</v>
      </c>
      <c r="D19">
        <v>8</v>
      </c>
      <c r="E19">
        <v>1</v>
      </c>
      <c r="F19">
        <v>0</v>
      </c>
      <c r="G19">
        <v>15682</v>
      </c>
      <c r="H19">
        <v>8662</v>
      </c>
      <c r="I19">
        <v>1.1052</v>
      </c>
    </row>
    <row r="20" spans="1:9" x14ac:dyDescent="0.25">
      <c r="A20" t="s">
        <v>54</v>
      </c>
      <c r="B20">
        <v>1.13679718971252</v>
      </c>
      <c r="C20" t="s">
        <v>13</v>
      </c>
      <c r="D20">
        <v>8</v>
      </c>
      <c r="E20">
        <v>1</v>
      </c>
      <c r="F20">
        <v>0</v>
      </c>
      <c r="G20">
        <v>15682</v>
      </c>
      <c r="H20">
        <v>8672</v>
      </c>
      <c r="I20">
        <v>1.1067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400B3-295A-4925-BD82-444DACACEE84}">
  <dimension ref="A1:I21"/>
  <sheetViews>
    <sheetView workbookViewId="0">
      <selection activeCell="A11" sqref="A11"/>
    </sheetView>
  </sheetViews>
  <sheetFormatPr defaultRowHeight="15" x14ac:dyDescent="0.25"/>
  <cols>
    <col min="1" max="1" width="24.7109375" bestFit="1" customWidth="1"/>
    <col min="2" max="2" width="9.5703125" customWidth="1"/>
    <col min="3" max="3" width="9.140625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25">
      <c r="A2" t="s">
        <v>82</v>
      </c>
      <c r="B2" s="10">
        <v>1.11041831970214</v>
      </c>
      <c r="C2" t="s">
        <v>10</v>
      </c>
      <c r="D2">
        <v>1</v>
      </c>
      <c r="E2">
        <v>1</v>
      </c>
      <c r="F2">
        <v>0</v>
      </c>
      <c r="G2">
        <v>15682</v>
      </c>
      <c r="H2">
        <v>6744</v>
      </c>
      <c r="I2" s="7">
        <v>1.0764</v>
      </c>
    </row>
    <row r="3" spans="1:9" x14ac:dyDescent="0.25">
      <c r="A3" t="s">
        <v>83</v>
      </c>
      <c r="B3" s="10">
        <v>1.1338026523589999</v>
      </c>
      <c r="C3" t="s">
        <v>13</v>
      </c>
      <c r="D3">
        <v>8</v>
      </c>
      <c r="E3">
        <v>1</v>
      </c>
      <c r="F3">
        <v>0</v>
      </c>
      <c r="G3">
        <v>15682</v>
      </c>
      <c r="H3">
        <v>7844</v>
      </c>
      <c r="I3" s="7">
        <v>1.0965</v>
      </c>
    </row>
    <row r="4" spans="1:9" x14ac:dyDescent="0.25">
      <c r="A4" t="s">
        <v>84</v>
      </c>
      <c r="B4" s="10">
        <v>1.1433684825897199</v>
      </c>
      <c r="C4" t="s">
        <v>13</v>
      </c>
      <c r="D4">
        <v>8</v>
      </c>
      <c r="E4">
        <v>1</v>
      </c>
      <c r="F4">
        <v>0</v>
      </c>
      <c r="G4">
        <v>15682</v>
      </c>
      <c r="H4">
        <v>7815</v>
      </c>
      <c r="I4" s="7">
        <v>1.1221000000000001</v>
      </c>
    </row>
    <row r="5" spans="1:9" x14ac:dyDescent="0.25">
      <c r="A5" t="s">
        <v>85</v>
      </c>
      <c r="B5" s="10">
        <v>1.14112961292266</v>
      </c>
      <c r="C5" t="s">
        <v>13</v>
      </c>
      <c r="D5">
        <v>8</v>
      </c>
      <c r="E5">
        <v>1</v>
      </c>
      <c r="F5">
        <v>0</v>
      </c>
      <c r="G5">
        <v>15682</v>
      </c>
      <c r="H5">
        <v>7752</v>
      </c>
      <c r="I5" s="7">
        <v>1.1035999999999999</v>
      </c>
    </row>
    <row r="6" spans="1:9" x14ac:dyDescent="0.25">
      <c r="A6" t="s">
        <v>86</v>
      </c>
      <c r="B6" s="10">
        <v>1.12357354164123</v>
      </c>
      <c r="C6" t="s">
        <v>17</v>
      </c>
      <c r="D6">
        <v>2</v>
      </c>
      <c r="E6">
        <v>1</v>
      </c>
      <c r="F6">
        <v>0</v>
      </c>
      <c r="G6">
        <v>15682</v>
      </c>
      <c r="H6">
        <v>7449</v>
      </c>
      <c r="I6" s="7">
        <v>1.0900000000000001</v>
      </c>
    </row>
    <row r="7" spans="1:9" x14ac:dyDescent="0.25">
      <c r="A7" t="s">
        <v>87</v>
      </c>
      <c r="B7" s="10">
        <v>1.1333440542221001</v>
      </c>
      <c r="C7" t="s">
        <v>19</v>
      </c>
      <c r="D7">
        <v>4</v>
      </c>
      <c r="E7">
        <v>1</v>
      </c>
      <c r="F7">
        <v>0</v>
      </c>
      <c r="G7">
        <v>15682</v>
      </c>
      <c r="H7">
        <v>7552</v>
      </c>
      <c r="I7" s="7">
        <v>1.0988</v>
      </c>
    </row>
    <row r="8" spans="1:9" x14ac:dyDescent="0.25">
      <c r="A8" t="s">
        <v>88</v>
      </c>
      <c r="B8" s="10">
        <v>1.14112961292266</v>
      </c>
      <c r="C8" t="s">
        <v>13</v>
      </c>
      <c r="D8">
        <v>8</v>
      </c>
      <c r="E8">
        <v>1</v>
      </c>
      <c r="F8">
        <v>0</v>
      </c>
      <c r="G8">
        <v>15682</v>
      </c>
      <c r="H8">
        <v>7748</v>
      </c>
      <c r="I8" s="7">
        <v>1.1035999999999999</v>
      </c>
    </row>
    <row r="9" spans="1:9" x14ac:dyDescent="0.25">
      <c r="A9" t="s">
        <v>89</v>
      </c>
      <c r="B9" s="10">
        <v>1.1487896442413299</v>
      </c>
      <c r="C9" t="s">
        <v>23</v>
      </c>
      <c r="D9">
        <v>16</v>
      </c>
      <c r="E9">
        <v>1</v>
      </c>
      <c r="F9">
        <v>0</v>
      </c>
      <c r="G9">
        <v>15682</v>
      </c>
      <c r="H9">
        <v>8022</v>
      </c>
      <c r="I9" s="7">
        <v>1.1071</v>
      </c>
    </row>
    <row r="10" spans="1:9" x14ac:dyDescent="0.25">
      <c r="A10" t="s">
        <v>90</v>
      </c>
      <c r="B10" s="10">
        <v>1.14112961292266</v>
      </c>
      <c r="C10" t="s">
        <v>13</v>
      </c>
      <c r="D10">
        <v>8</v>
      </c>
      <c r="E10">
        <v>1</v>
      </c>
      <c r="F10">
        <v>0</v>
      </c>
      <c r="G10">
        <v>15682</v>
      </c>
      <c r="H10">
        <v>7756</v>
      </c>
      <c r="I10" s="7">
        <v>1.1035999999999999</v>
      </c>
    </row>
    <row r="11" spans="1:9" x14ac:dyDescent="0.25">
      <c r="A11" t="s">
        <v>91</v>
      </c>
      <c r="B11" s="10">
        <v>1.0792680978775</v>
      </c>
      <c r="C11" t="s">
        <v>13</v>
      </c>
      <c r="D11">
        <v>16</v>
      </c>
      <c r="E11">
        <v>2</v>
      </c>
      <c r="F11">
        <v>0</v>
      </c>
      <c r="G11">
        <v>15682</v>
      </c>
      <c r="H11">
        <v>8075</v>
      </c>
      <c r="I11" s="7">
        <v>1.0364</v>
      </c>
    </row>
    <row r="12" spans="1:9" x14ac:dyDescent="0.25">
      <c r="A12" t="s">
        <v>92</v>
      </c>
      <c r="B12" s="10">
        <v>1.0744439363479601</v>
      </c>
      <c r="C12" t="s">
        <v>13</v>
      </c>
      <c r="D12">
        <v>32</v>
      </c>
      <c r="E12">
        <v>4</v>
      </c>
      <c r="F12">
        <v>0</v>
      </c>
      <c r="G12">
        <v>15682</v>
      </c>
      <c r="H12">
        <v>8852</v>
      </c>
      <c r="I12" s="7">
        <v>1.03</v>
      </c>
    </row>
    <row r="13" spans="1:9" x14ac:dyDescent="0.25">
      <c r="A13" t="s">
        <v>93</v>
      </c>
      <c r="B13" s="10">
        <v>1.0708967447280799</v>
      </c>
      <c r="C13" t="s">
        <v>13</v>
      </c>
      <c r="D13">
        <v>64</v>
      </c>
      <c r="E13">
        <v>8</v>
      </c>
      <c r="F13">
        <v>0</v>
      </c>
      <c r="G13">
        <v>15682</v>
      </c>
      <c r="H13">
        <v>10997</v>
      </c>
      <c r="I13" s="7">
        <v>1.0269999999999999</v>
      </c>
    </row>
    <row r="14" spans="1:9" x14ac:dyDescent="0.25">
      <c r="A14" t="s">
        <v>94</v>
      </c>
      <c r="B14" s="10">
        <v>1.0727070569992001</v>
      </c>
      <c r="C14" t="s">
        <v>13</v>
      </c>
      <c r="D14">
        <v>32</v>
      </c>
      <c r="E14">
        <v>4</v>
      </c>
      <c r="F14">
        <v>0</v>
      </c>
      <c r="G14">
        <v>15682</v>
      </c>
      <c r="H14">
        <v>8877</v>
      </c>
      <c r="I14" s="7">
        <v>1.0286999999999999</v>
      </c>
    </row>
    <row r="15" spans="1:9" x14ac:dyDescent="0.25">
      <c r="A15" t="s">
        <v>95</v>
      </c>
      <c r="B15" s="10">
        <v>1.0768737792968699</v>
      </c>
      <c r="C15" t="s">
        <v>13</v>
      </c>
      <c r="D15">
        <v>31</v>
      </c>
      <c r="E15">
        <v>3</v>
      </c>
      <c r="F15">
        <v>1</v>
      </c>
      <c r="G15">
        <v>15682</v>
      </c>
      <c r="H15">
        <v>8753</v>
      </c>
      <c r="I15" s="7">
        <v>1.0348999999999999</v>
      </c>
    </row>
    <row r="16" spans="1:9" x14ac:dyDescent="0.25">
      <c r="A16" t="s">
        <v>96</v>
      </c>
      <c r="B16" s="10">
        <v>1.07408607006073</v>
      </c>
      <c r="C16" t="s">
        <v>13</v>
      </c>
      <c r="D16">
        <v>30</v>
      </c>
      <c r="E16">
        <v>2</v>
      </c>
      <c r="F16">
        <v>2</v>
      </c>
      <c r="G16">
        <v>15682</v>
      </c>
      <c r="H16">
        <v>8505</v>
      </c>
      <c r="I16" s="7">
        <v>1.032</v>
      </c>
    </row>
    <row r="17" spans="1:9" x14ac:dyDescent="0.25">
      <c r="A17" t="s">
        <v>97</v>
      </c>
      <c r="B17" s="10">
        <v>1.1095719337463299</v>
      </c>
      <c r="C17" t="s">
        <v>13</v>
      </c>
      <c r="D17">
        <v>29</v>
      </c>
      <c r="E17">
        <v>1</v>
      </c>
      <c r="F17">
        <v>3</v>
      </c>
      <c r="G17">
        <v>15682</v>
      </c>
      <c r="H17">
        <v>8254</v>
      </c>
      <c r="I17" s="7">
        <v>1.0723</v>
      </c>
    </row>
    <row r="18" spans="1:9" x14ac:dyDescent="0.25">
      <c r="A18" t="s">
        <v>98</v>
      </c>
      <c r="B18" s="10">
        <v>1.13844954967498</v>
      </c>
      <c r="C18" t="s">
        <v>13</v>
      </c>
      <c r="D18">
        <v>8</v>
      </c>
      <c r="E18">
        <v>1</v>
      </c>
      <c r="F18">
        <v>0</v>
      </c>
      <c r="G18">
        <v>15682</v>
      </c>
      <c r="H18">
        <v>8051</v>
      </c>
      <c r="I18" s="7">
        <v>1.1045</v>
      </c>
    </row>
    <row r="19" spans="1:9" x14ac:dyDescent="0.25">
      <c r="A19" t="s">
        <v>99</v>
      </c>
      <c r="B19" s="10">
        <v>1.13623511791229</v>
      </c>
      <c r="C19" t="s">
        <v>13</v>
      </c>
      <c r="D19">
        <v>8</v>
      </c>
      <c r="E19">
        <v>1</v>
      </c>
      <c r="F19">
        <v>0</v>
      </c>
      <c r="G19">
        <v>15682</v>
      </c>
      <c r="H19">
        <v>8040</v>
      </c>
      <c r="I19" s="7">
        <v>1.0996999999999999</v>
      </c>
    </row>
    <row r="20" spans="1:9" x14ac:dyDescent="0.25">
      <c r="A20" t="s">
        <v>100</v>
      </c>
      <c r="B20" s="10">
        <v>1.1337159872055</v>
      </c>
      <c r="C20" t="s">
        <v>13</v>
      </c>
      <c r="D20">
        <v>8</v>
      </c>
      <c r="E20">
        <v>1</v>
      </c>
      <c r="F20">
        <v>0</v>
      </c>
      <c r="G20">
        <v>15682</v>
      </c>
      <c r="H20">
        <v>8051</v>
      </c>
      <c r="I20" s="7">
        <v>1.0968</v>
      </c>
    </row>
    <row r="21" spans="1:9" x14ac:dyDescent="0.25">
      <c r="A21" t="s">
        <v>101</v>
      </c>
      <c r="B21" s="10">
        <v>1.1349464654922401</v>
      </c>
      <c r="C21" t="s">
        <v>13</v>
      </c>
      <c r="D21">
        <v>8</v>
      </c>
      <c r="E21">
        <v>1</v>
      </c>
      <c r="F21">
        <v>0</v>
      </c>
      <c r="G21">
        <v>15682</v>
      </c>
      <c r="H21">
        <v>8026</v>
      </c>
      <c r="I21" s="7">
        <v>1.0989</v>
      </c>
    </row>
  </sheetData>
  <pageMargins left="0.7" right="0.7" top="0.75" bottom="0.75" header="0.3" footer="0.3"/>
  <pageSetup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CA4D8-5BB4-4336-948D-9E09B47D5B0F}">
  <dimension ref="A1:N61"/>
  <sheetViews>
    <sheetView workbookViewId="0">
      <selection activeCell="V49" sqref="S30:V49"/>
    </sheetView>
  </sheetViews>
  <sheetFormatPr defaultRowHeight="15" x14ac:dyDescent="0.25"/>
  <cols>
    <col min="1" max="1" width="25.5703125" bestFit="1" customWidth="1"/>
    <col min="2" max="2" width="9.28515625" customWidth="1"/>
    <col min="3" max="3" width="14.5703125" customWidth="1"/>
    <col min="4" max="5" width="16" customWidth="1"/>
    <col min="6" max="6" width="20.42578125" customWidth="1"/>
    <col min="11" max="11" width="19.85546875" bestFit="1" customWidth="1"/>
    <col min="12" max="12" width="16.85546875" bestFit="1" customWidth="1"/>
    <col min="13" max="14" width="8.140625" bestFit="1" customWidth="1"/>
    <col min="15" max="15" width="16" bestFit="1" customWidth="1"/>
    <col min="16" max="18" width="5" bestFit="1" customWidth="1"/>
    <col min="19" max="32" width="6" bestFit="1" customWidth="1"/>
    <col min="33" max="33" width="6.85546875" bestFit="1" customWidth="1"/>
    <col min="34" max="47" width="5" bestFit="1" customWidth="1"/>
    <col min="48" max="51" width="6" bestFit="1" customWidth="1"/>
    <col min="52" max="52" width="7" bestFit="1" customWidth="1"/>
    <col min="53" max="53" width="11.28515625" bestFit="1" customWidth="1"/>
  </cols>
  <sheetData>
    <row r="1" spans="1:14" x14ac:dyDescent="0.25">
      <c r="A1" s="1" t="s">
        <v>0</v>
      </c>
      <c r="B1" s="1" t="s">
        <v>77</v>
      </c>
      <c r="C1" s="11" t="s">
        <v>1</v>
      </c>
      <c r="D1" s="2" t="s">
        <v>7</v>
      </c>
      <c r="E1" s="2" t="s">
        <v>8</v>
      </c>
      <c r="F1" s="11" t="s">
        <v>76</v>
      </c>
    </row>
    <row r="2" spans="1:14" x14ac:dyDescent="0.25">
      <c r="A2" s="1" t="s">
        <v>55</v>
      </c>
      <c r="B2" s="1" t="s">
        <v>102</v>
      </c>
      <c r="C2" s="3">
        <v>1.11134445667266</v>
      </c>
      <c r="D2" s="1">
        <v>6807</v>
      </c>
      <c r="E2" s="3">
        <v>1.0844</v>
      </c>
      <c r="F2" s="8">
        <f t="shared" ref="F2:F42" si="0">D2/3600</f>
        <v>1.8908333333333334</v>
      </c>
      <c r="K2" s="4" t="s">
        <v>81</v>
      </c>
      <c r="L2" s="4" t="s">
        <v>80</v>
      </c>
    </row>
    <row r="3" spans="1:14" x14ac:dyDescent="0.25">
      <c r="A3" s="1" t="s">
        <v>56</v>
      </c>
      <c r="B3" s="1" t="s">
        <v>102</v>
      </c>
      <c r="C3" s="3">
        <v>1.11118912696838</v>
      </c>
      <c r="D3" s="1">
        <v>6791</v>
      </c>
      <c r="E3" s="3">
        <v>1.0832999999999999</v>
      </c>
      <c r="F3" s="8">
        <f t="shared" si="0"/>
        <v>1.8863888888888889</v>
      </c>
      <c r="K3" s="4" t="s">
        <v>78</v>
      </c>
      <c r="L3" t="s">
        <v>102</v>
      </c>
      <c r="M3" t="s">
        <v>103</v>
      </c>
      <c r="N3" t="s">
        <v>104</v>
      </c>
    </row>
    <row r="4" spans="1:14" x14ac:dyDescent="0.25">
      <c r="A4" s="1" t="s">
        <v>57</v>
      </c>
      <c r="B4" s="1" t="s">
        <v>102</v>
      </c>
      <c r="C4" s="3">
        <v>1.12694776058197</v>
      </c>
      <c r="D4" s="1">
        <v>10306</v>
      </c>
      <c r="E4" s="3">
        <v>1.0932999999999999</v>
      </c>
      <c r="F4" s="8">
        <f t="shared" si="0"/>
        <v>2.8627777777777776</v>
      </c>
      <c r="K4" s="5" t="s">
        <v>55</v>
      </c>
      <c r="L4" s="9">
        <v>1.8908333333333334</v>
      </c>
      <c r="M4" s="9"/>
      <c r="N4" s="9"/>
    </row>
    <row r="5" spans="1:14" x14ac:dyDescent="0.25">
      <c r="A5" s="1" t="s">
        <v>58</v>
      </c>
      <c r="B5" s="1" t="s">
        <v>102</v>
      </c>
      <c r="C5" s="3">
        <v>1.1370919942855799</v>
      </c>
      <c r="D5" s="1">
        <v>10297</v>
      </c>
      <c r="E5" s="3">
        <v>1.1208</v>
      </c>
      <c r="F5" s="8">
        <f t="shared" si="0"/>
        <v>2.8602777777777777</v>
      </c>
      <c r="K5" s="5" t="s">
        <v>56</v>
      </c>
      <c r="L5" s="9">
        <v>1.8863888888888889</v>
      </c>
      <c r="M5" s="9"/>
      <c r="N5" s="9">
        <v>1.8733333333333333</v>
      </c>
    </row>
    <row r="6" spans="1:14" x14ac:dyDescent="0.25">
      <c r="A6" s="1" t="s">
        <v>59</v>
      </c>
      <c r="B6" s="1" t="s">
        <v>102</v>
      </c>
      <c r="C6" s="3">
        <v>1.1295984983444201</v>
      </c>
      <c r="D6" s="1">
        <v>10035</v>
      </c>
      <c r="E6" s="3">
        <v>1.0992999999999999</v>
      </c>
      <c r="F6" s="8">
        <f t="shared" si="0"/>
        <v>2.7875000000000001</v>
      </c>
      <c r="K6" s="5" t="s">
        <v>57</v>
      </c>
      <c r="L6" s="9">
        <v>2.8627777777777776</v>
      </c>
      <c r="M6" s="9">
        <v>2.3755555555555556</v>
      </c>
      <c r="N6" s="9">
        <v>2.1788888888888889</v>
      </c>
    </row>
    <row r="7" spans="1:14" x14ac:dyDescent="0.25">
      <c r="A7" s="1" t="s">
        <v>60</v>
      </c>
      <c r="B7" s="1" t="s">
        <v>102</v>
      </c>
      <c r="C7" s="3">
        <v>1.11804747581481</v>
      </c>
      <c r="D7" s="1">
        <v>8395</v>
      </c>
      <c r="E7" s="3">
        <v>1.0900000000000001</v>
      </c>
      <c r="F7" s="8">
        <f t="shared" si="0"/>
        <v>2.3319444444444444</v>
      </c>
      <c r="K7" s="5" t="s">
        <v>58</v>
      </c>
      <c r="L7" s="9">
        <v>2.8602777777777777</v>
      </c>
      <c r="M7" s="9">
        <v>2.3827777777777777</v>
      </c>
      <c r="N7" s="9">
        <v>2.1708333333333334</v>
      </c>
    </row>
    <row r="8" spans="1:14" x14ac:dyDescent="0.25">
      <c r="A8" s="1" t="s">
        <v>61</v>
      </c>
      <c r="B8" s="1" t="s">
        <v>102</v>
      </c>
      <c r="C8" s="3">
        <v>1.1246691942214899</v>
      </c>
      <c r="D8" s="1">
        <v>8867</v>
      </c>
      <c r="E8" s="3">
        <v>1.0959000000000001</v>
      </c>
      <c r="F8" s="8">
        <f t="shared" si="0"/>
        <v>2.4630555555555556</v>
      </c>
      <c r="K8" s="5" t="s">
        <v>59</v>
      </c>
      <c r="L8" s="9">
        <v>2.7875000000000001</v>
      </c>
      <c r="M8" s="9">
        <v>2.3936111111111109</v>
      </c>
      <c r="N8" s="9">
        <v>2.1533333333333333</v>
      </c>
    </row>
    <row r="9" spans="1:14" x14ac:dyDescent="0.25">
      <c r="A9" s="1" t="s">
        <v>62</v>
      </c>
      <c r="B9" s="1" t="s">
        <v>102</v>
      </c>
      <c r="C9" s="3">
        <v>1.1295984983444201</v>
      </c>
      <c r="D9" s="1">
        <v>10085</v>
      </c>
      <c r="E9" s="3">
        <v>1.0992999999999999</v>
      </c>
      <c r="F9" s="8">
        <f t="shared" si="0"/>
        <v>2.8013888888888889</v>
      </c>
      <c r="K9" s="5" t="s">
        <v>60</v>
      </c>
      <c r="L9" s="9">
        <v>2.3319444444444444</v>
      </c>
      <c r="M9" s="9">
        <v>2.2419444444444445</v>
      </c>
      <c r="N9" s="9">
        <v>2.0691666666666668</v>
      </c>
    </row>
    <row r="10" spans="1:14" x14ac:dyDescent="0.25">
      <c r="A10" s="1" t="s">
        <v>63</v>
      </c>
      <c r="B10" s="1" t="s">
        <v>102</v>
      </c>
      <c r="C10" s="3">
        <v>1.1377271413803101</v>
      </c>
      <c r="D10" s="1">
        <v>12924</v>
      </c>
      <c r="E10" s="3">
        <v>1.1015999999999999</v>
      </c>
      <c r="F10" s="8">
        <f t="shared" si="0"/>
        <v>3.59</v>
      </c>
      <c r="K10" s="5" t="s">
        <v>61</v>
      </c>
      <c r="L10" s="9">
        <v>2.4630555555555556</v>
      </c>
      <c r="M10" s="9">
        <v>2.2941666666666665</v>
      </c>
      <c r="N10" s="9">
        <v>2.097777777777778</v>
      </c>
    </row>
    <row r="11" spans="1:14" x14ac:dyDescent="0.25">
      <c r="A11" s="1" t="s">
        <v>64</v>
      </c>
      <c r="B11" s="1" t="s">
        <v>102</v>
      </c>
      <c r="C11" s="3">
        <v>1.1295984983444201</v>
      </c>
      <c r="D11" s="1">
        <v>10047</v>
      </c>
      <c r="E11" s="3">
        <v>1.0992999999999999</v>
      </c>
      <c r="F11" s="8">
        <f t="shared" si="0"/>
        <v>2.7908333333333335</v>
      </c>
      <c r="K11" s="5" t="s">
        <v>62</v>
      </c>
      <c r="L11" s="9">
        <v>2.8013888888888889</v>
      </c>
      <c r="M11" s="9">
        <v>2.3836111111111111</v>
      </c>
      <c r="N11" s="9">
        <v>2.152222222222222</v>
      </c>
    </row>
    <row r="12" spans="1:14" x14ac:dyDescent="0.25">
      <c r="A12" s="1" t="s">
        <v>65</v>
      </c>
      <c r="B12" s="1" t="s">
        <v>102</v>
      </c>
      <c r="C12" s="3">
        <v>1.0658214092254601</v>
      </c>
      <c r="D12" s="1">
        <v>12256</v>
      </c>
      <c r="E12" s="3">
        <v>1.0236000000000001</v>
      </c>
      <c r="F12" s="8">
        <f t="shared" si="0"/>
        <v>3.4044444444444446</v>
      </c>
      <c r="K12" s="5" t="s">
        <v>63</v>
      </c>
      <c r="L12" s="9">
        <v>3.59</v>
      </c>
      <c r="M12" s="9">
        <v>2.5613888888888887</v>
      </c>
      <c r="N12" s="9">
        <v>2.2283333333333335</v>
      </c>
    </row>
    <row r="13" spans="1:14" x14ac:dyDescent="0.25">
      <c r="A13" s="1" t="s">
        <v>66</v>
      </c>
      <c r="B13" s="1" t="s">
        <v>102</v>
      </c>
      <c r="C13" s="3">
        <v>1.0581374168395901</v>
      </c>
      <c r="D13" s="1">
        <v>17931</v>
      </c>
      <c r="E13" s="3">
        <v>1.0144</v>
      </c>
      <c r="F13" s="8">
        <f t="shared" si="0"/>
        <v>4.980833333333333</v>
      </c>
      <c r="K13" s="5" t="s">
        <v>64</v>
      </c>
      <c r="L13" s="9">
        <v>2.7908333333333335</v>
      </c>
      <c r="M13" s="9">
        <v>2.3936111111111109</v>
      </c>
      <c r="N13" s="9">
        <v>2.1544444444444446</v>
      </c>
    </row>
    <row r="14" spans="1:14" x14ac:dyDescent="0.25">
      <c r="A14" s="1" t="s">
        <v>67</v>
      </c>
      <c r="B14" s="1" t="s">
        <v>102</v>
      </c>
      <c r="C14" s="3">
        <v>1.05835402011871</v>
      </c>
      <c r="D14" s="1">
        <v>27565</v>
      </c>
      <c r="E14" s="3">
        <v>1.0149999999999999</v>
      </c>
      <c r="F14" s="8">
        <f t="shared" si="0"/>
        <v>7.6569444444444441</v>
      </c>
      <c r="K14" s="5" t="s">
        <v>65</v>
      </c>
      <c r="L14" s="9">
        <v>3.4044444444444446</v>
      </c>
      <c r="M14" s="9">
        <v>2.5841666666666665</v>
      </c>
      <c r="N14" s="9">
        <v>2.2430555555555554</v>
      </c>
    </row>
    <row r="15" spans="1:14" x14ac:dyDescent="0.25">
      <c r="A15" s="1" t="s">
        <v>68</v>
      </c>
      <c r="B15" s="1" t="s">
        <v>102</v>
      </c>
      <c r="C15" s="3">
        <v>1.0581374168395901</v>
      </c>
      <c r="D15" s="1">
        <v>17921</v>
      </c>
      <c r="E15" s="3">
        <v>1.0144</v>
      </c>
      <c r="F15" s="8">
        <f t="shared" si="0"/>
        <v>4.9780555555555557</v>
      </c>
      <c r="K15" s="5" t="s">
        <v>66</v>
      </c>
      <c r="L15" s="9">
        <v>4.980833333333333</v>
      </c>
      <c r="M15" s="9">
        <v>2.9977777777777779</v>
      </c>
      <c r="N15" s="9">
        <v>2.4588888888888887</v>
      </c>
    </row>
    <row r="16" spans="1:14" x14ac:dyDescent="0.25">
      <c r="A16" s="1" t="s">
        <v>69</v>
      </c>
      <c r="B16" s="1" t="s">
        <v>102</v>
      </c>
      <c r="C16" s="3">
        <v>1.0572606325149501</v>
      </c>
      <c r="D16" s="1">
        <v>17234</v>
      </c>
      <c r="E16" s="3">
        <v>1.0141</v>
      </c>
      <c r="F16" s="8">
        <f t="shared" si="0"/>
        <v>4.7872222222222218</v>
      </c>
      <c r="K16" s="5" t="s">
        <v>67</v>
      </c>
      <c r="L16" s="9">
        <v>7.6569444444444441</v>
      </c>
      <c r="M16" s="9">
        <v>4.1663888888888891</v>
      </c>
      <c r="N16" s="9">
        <v>3.0547222222222223</v>
      </c>
    </row>
    <row r="17" spans="1:14" x14ac:dyDescent="0.25">
      <c r="A17" s="1" t="s">
        <v>70</v>
      </c>
      <c r="B17" s="1" t="s">
        <v>102</v>
      </c>
      <c r="C17" s="3">
        <v>1.05996394157409</v>
      </c>
      <c r="D17" s="1">
        <v>16477</v>
      </c>
      <c r="E17" s="3">
        <v>1.0181</v>
      </c>
      <c r="F17" s="8">
        <f t="shared" si="0"/>
        <v>4.576944444444444</v>
      </c>
      <c r="K17" s="5" t="s">
        <v>68</v>
      </c>
      <c r="L17" s="9">
        <v>4.9780555555555557</v>
      </c>
      <c r="M17" s="9">
        <v>2.9947222222222223</v>
      </c>
      <c r="N17" s="9">
        <v>2.4658333333333333</v>
      </c>
    </row>
    <row r="18" spans="1:14" x14ac:dyDescent="0.25">
      <c r="A18" s="1" t="s">
        <v>71</v>
      </c>
      <c r="B18" s="1" t="s">
        <v>102</v>
      </c>
      <c r="C18" s="3">
        <v>1.1013923883438099</v>
      </c>
      <c r="D18" s="1">
        <v>15682</v>
      </c>
      <c r="E18" s="3">
        <v>1.0670999999999999</v>
      </c>
      <c r="F18" s="8">
        <f t="shared" si="0"/>
        <v>4.3561111111111108</v>
      </c>
      <c r="K18" s="5" t="s">
        <v>69</v>
      </c>
      <c r="L18" s="9">
        <v>4.7872222222222218</v>
      </c>
      <c r="M18" s="9">
        <v>2.9005555555555556</v>
      </c>
      <c r="N18" s="9">
        <v>2.4313888888888888</v>
      </c>
    </row>
    <row r="19" spans="1:14" x14ac:dyDescent="0.25">
      <c r="A19" s="1" t="s">
        <v>72</v>
      </c>
      <c r="B19" s="1" t="s">
        <v>102</v>
      </c>
      <c r="C19" s="3">
        <v>1.1316434144973699</v>
      </c>
      <c r="D19" s="1">
        <v>10001</v>
      </c>
      <c r="E19" s="3">
        <v>1.1021000000000001</v>
      </c>
      <c r="F19" s="8">
        <f t="shared" si="0"/>
        <v>2.7780555555555555</v>
      </c>
      <c r="K19" s="5" t="s">
        <v>70</v>
      </c>
      <c r="L19" s="9">
        <v>4.576944444444444</v>
      </c>
      <c r="M19" s="9">
        <v>2.7644444444444445</v>
      </c>
      <c r="N19" s="9">
        <v>2.3624999999999998</v>
      </c>
    </row>
    <row r="20" spans="1:14" x14ac:dyDescent="0.25">
      <c r="A20" s="1" t="s">
        <v>73</v>
      </c>
      <c r="B20" s="1" t="s">
        <v>102</v>
      </c>
      <c r="C20" s="3">
        <v>1.1320948600769001</v>
      </c>
      <c r="D20" s="1">
        <v>9958</v>
      </c>
      <c r="E20" s="3">
        <v>1.1024</v>
      </c>
      <c r="F20" s="8">
        <f t="shared" si="0"/>
        <v>2.766111111111111</v>
      </c>
      <c r="K20" s="5" t="s">
        <v>71</v>
      </c>
      <c r="L20" s="9">
        <v>4.3561111111111108</v>
      </c>
      <c r="M20" s="9">
        <v>2.6458333333333335</v>
      </c>
      <c r="N20" s="9">
        <v>2.2927777777777778</v>
      </c>
    </row>
    <row r="21" spans="1:14" x14ac:dyDescent="0.25">
      <c r="A21" s="1" t="s">
        <v>74</v>
      </c>
      <c r="B21" s="1" t="s">
        <v>102</v>
      </c>
      <c r="C21" s="3">
        <v>1.1334214210510201</v>
      </c>
      <c r="D21" s="1">
        <v>9864</v>
      </c>
      <c r="E21" s="3">
        <v>1.1033999999999999</v>
      </c>
      <c r="F21" s="8">
        <f t="shared" si="0"/>
        <v>2.74</v>
      </c>
      <c r="K21" s="5" t="s">
        <v>72</v>
      </c>
      <c r="L21" s="9">
        <v>2.7780555555555555</v>
      </c>
      <c r="M21" s="9">
        <v>2.4608333333333334</v>
      </c>
      <c r="N21" s="9">
        <v>2.236388888888889</v>
      </c>
    </row>
    <row r="22" spans="1:14" x14ac:dyDescent="0.25">
      <c r="A22" s="1" t="s">
        <v>75</v>
      </c>
      <c r="B22" s="1" t="s">
        <v>102</v>
      </c>
      <c r="C22" s="3">
        <v>1.1313065290451001</v>
      </c>
      <c r="D22" s="1">
        <v>9906</v>
      </c>
      <c r="E22" s="3">
        <v>1.0993999999999999</v>
      </c>
      <c r="F22" s="8">
        <f t="shared" si="0"/>
        <v>2.7516666666666665</v>
      </c>
      <c r="K22" s="5" t="s">
        <v>73</v>
      </c>
      <c r="L22" s="9">
        <v>2.766111111111111</v>
      </c>
      <c r="M22" s="9">
        <v>2.4227777777777777</v>
      </c>
      <c r="N22" s="9">
        <v>2.2333333333333334</v>
      </c>
    </row>
    <row r="23" spans="1:14" x14ac:dyDescent="0.25">
      <c r="A23" s="1" t="s">
        <v>57</v>
      </c>
      <c r="B23" s="1" t="s">
        <v>103</v>
      </c>
      <c r="C23" s="3">
        <v>1.1323504447937001</v>
      </c>
      <c r="D23" s="1">
        <v>8552</v>
      </c>
      <c r="E23" s="3">
        <v>1.1006</v>
      </c>
      <c r="F23" s="8">
        <f t="shared" si="0"/>
        <v>2.3755555555555556</v>
      </c>
      <c r="K23" s="5" t="s">
        <v>74</v>
      </c>
      <c r="L23" s="9">
        <v>2.74</v>
      </c>
      <c r="M23" s="9">
        <v>2.4061111111111111</v>
      </c>
      <c r="N23" s="9">
        <v>2.236388888888889</v>
      </c>
    </row>
    <row r="24" spans="1:14" x14ac:dyDescent="0.25">
      <c r="A24" s="1" t="s">
        <v>58</v>
      </c>
      <c r="B24" s="1" t="s">
        <v>103</v>
      </c>
      <c r="C24" s="3">
        <v>1.14303863048553</v>
      </c>
      <c r="D24" s="1">
        <v>8578</v>
      </c>
      <c r="E24" s="3">
        <v>1.129</v>
      </c>
      <c r="F24" s="8">
        <f t="shared" si="0"/>
        <v>2.3827777777777777</v>
      </c>
      <c r="K24" s="5" t="s">
        <v>75</v>
      </c>
      <c r="L24" s="9">
        <v>2.7516666666666665</v>
      </c>
      <c r="M24" s="9">
        <v>2.4088888888888889</v>
      </c>
      <c r="N24" s="9">
        <v>2.2294444444444443</v>
      </c>
    </row>
    <row r="25" spans="1:14" x14ac:dyDescent="0.25">
      <c r="A25" s="1" t="s">
        <v>59</v>
      </c>
      <c r="B25" s="1" t="s">
        <v>103</v>
      </c>
      <c r="C25" s="3">
        <v>1.1407160758972099</v>
      </c>
      <c r="D25" s="1">
        <v>8617</v>
      </c>
      <c r="E25" s="3">
        <v>1.1076999999999999</v>
      </c>
      <c r="F25" s="8">
        <f t="shared" si="0"/>
        <v>2.3936111111111109</v>
      </c>
      <c r="K25" s="5" t="s">
        <v>79</v>
      </c>
      <c r="L25" s="6">
        <v>72.041388888888875</v>
      </c>
      <c r="M25" s="6">
        <v>49.779166666666661</v>
      </c>
      <c r="N25" s="6">
        <v>45.323055555555563</v>
      </c>
    </row>
    <row r="26" spans="1:14" x14ac:dyDescent="0.25">
      <c r="A26" s="1" t="s">
        <v>60</v>
      </c>
      <c r="B26" s="1" t="s">
        <v>103</v>
      </c>
      <c r="C26" s="3">
        <v>1.12241566181182</v>
      </c>
      <c r="D26" s="1">
        <v>8071</v>
      </c>
      <c r="E26" s="3">
        <v>1.0947</v>
      </c>
      <c r="F26" s="8">
        <f t="shared" si="0"/>
        <v>2.2419444444444445</v>
      </c>
    </row>
    <row r="27" spans="1:14" x14ac:dyDescent="0.25">
      <c r="A27" s="1" t="s">
        <v>61</v>
      </c>
      <c r="B27" s="1" t="s">
        <v>103</v>
      </c>
      <c r="C27" s="3">
        <v>1.13310766220092</v>
      </c>
      <c r="D27" s="1">
        <v>8259</v>
      </c>
      <c r="E27" s="3">
        <v>1.1032</v>
      </c>
      <c r="F27" s="8">
        <f t="shared" si="0"/>
        <v>2.2941666666666665</v>
      </c>
    </row>
    <row r="28" spans="1:14" x14ac:dyDescent="0.25">
      <c r="A28" s="1" t="s">
        <v>62</v>
      </c>
      <c r="B28" s="1" t="s">
        <v>103</v>
      </c>
      <c r="C28" s="3">
        <v>1.1407160758972099</v>
      </c>
      <c r="D28" s="1">
        <v>8581</v>
      </c>
      <c r="E28" s="3">
        <v>1.1076999999999999</v>
      </c>
      <c r="F28" s="8">
        <f t="shared" si="0"/>
        <v>2.3836111111111111</v>
      </c>
    </row>
    <row r="29" spans="1:14" x14ac:dyDescent="0.25">
      <c r="A29" s="1" t="s">
        <v>63</v>
      </c>
      <c r="B29" s="1" t="s">
        <v>103</v>
      </c>
      <c r="C29" s="3">
        <v>1.1485748291015601</v>
      </c>
      <c r="D29" s="1">
        <v>9221</v>
      </c>
      <c r="E29" s="3">
        <v>1.1133999999999999</v>
      </c>
      <c r="F29" s="8">
        <f t="shared" si="0"/>
        <v>2.5613888888888887</v>
      </c>
    </row>
    <row r="30" spans="1:14" x14ac:dyDescent="0.25">
      <c r="A30" s="1" t="s">
        <v>64</v>
      </c>
      <c r="B30" s="1" t="s">
        <v>103</v>
      </c>
      <c r="C30" s="3">
        <v>1.1407160758972099</v>
      </c>
      <c r="D30" s="1">
        <v>8617</v>
      </c>
      <c r="E30" s="3">
        <v>1.1076999999999999</v>
      </c>
      <c r="F30" s="8">
        <f t="shared" si="0"/>
        <v>2.3936111111111109</v>
      </c>
    </row>
    <row r="31" spans="1:14" x14ac:dyDescent="0.25">
      <c r="A31" s="1" t="s">
        <v>65</v>
      </c>
      <c r="B31" s="1" t="s">
        <v>103</v>
      </c>
      <c r="C31" s="3">
        <v>1.0782896280288601</v>
      </c>
      <c r="D31" s="1">
        <v>9303</v>
      </c>
      <c r="E31" s="3">
        <v>1.0401</v>
      </c>
      <c r="F31" s="8">
        <f t="shared" si="0"/>
        <v>2.5841666666666665</v>
      </c>
    </row>
    <row r="32" spans="1:14" x14ac:dyDescent="0.25">
      <c r="A32" s="1" t="s">
        <v>66</v>
      </c>
      <c r="B32" s="1" t="s">
        <v>103</v>
      </c>
      <c r="C32" s="3">
        <v>1.07253313064575</v>
      </c>
      <c r="D32" s="1">
        <v>10792</v>
      </c>
      <c r="E32" s="3">
        <v>1.034</v>
      </c>
      <c r="F32" s="8">
        <f t="shared" si="0"/>
        <v>2.9977777777777779</v>
      </c>
    </row>
    <row r="33" spans="1:6" x14ac:dyDescent="0.25">
      <c r="A33" s="1" t="s">
        <v>67</v>
      </c>
      <c r="B33" s="1" t="s">
        <v>103</v>
      </c>
      <c r="C33" s="3">
        <v>1.0703152418136499</v>
      </c>
      <c r="D33" s="1">
        <v>14999</v>
      </c>
      <c r="E33" s="3">
        <v>1.0306</v>
      </c>
      <c r="F33" s="8">
        <f t="shared" si="0"/>
        <v>4.1663888888888891</v>
      </c>
    </row>
    <row r="34" spans="1:6" x14ac:dyDescent="0.25">
      <c r="A34" s="1" t="s">
        <v>68</v>
      </c>
      <c r="B34" s="1" t="s">
        <v>103</v>
      </c>
      <c r="C34" s="3">
        <v>1.07376980781555</v>
      </c>
      <c r="D34" s="1">
        <v>10781</v>
      </c>
      <c r="E34" s="3">
        <v>1.0342</v>
      </c>
      <c r="F34" s="8">
        <f t="shared" si="0"/>
        <v>2.9947222222222223</v>
      </c>
    </row>
    <row r="35" spans="1:6" x14ac:dyDescent="0.25">
      <c r="A35" s="1" t="s">
        <v>69</v>
      </c>
      <c r="B35" s="1" t="s">
        <v>103</v>
      </c>
      <c r="C35" s="3">
        <v>1.0754539966583201</v>
      </c>
      <c r="D35" s="1">
        <v>10442</v>
      </c>
      <c r="E35" s="3">
        <v>1.0373000000000001</v>
      </c>
      <c r="F35" s="8">
        <f t="shared" si="0"/>
        <v>2.9005555555555556</v>
      </c>
    </row>
    <row r="36" spans="1:6" x14ac:dyDescent="0.25">
      <c r="A36" s="1" t="s">
        <v>70</v>
      </c>
      <c r="B36" s="1" t="s">
        <v>103</v>
      </c>
      <c r="C36" s="3">
        <v>1.0731346607208201</v>
      </c>
      <c r="D36" s="1">
        <v>9952</v>
      </c>
      <c r="E36" s="3">
        <v>1.0363</v>
      </c>
      <c r="F36" s="8">
        <f t="shared" si="0"/>
        <v>2.7644444444444445</v>
      </c>
    </row>
    <row r="37" spans="1:6" x14ac:dyDescent="0.25">
      <c r="A37" s="1" t="s">
        <v>71</v>
      </c>
      <c r="B37" s="1" t="s">
        <v>103</v>
      </c>
      <c r="C37" s="3">
        <v>1.10969054698944</v>
      </c>
      <c r="D37" s="1">
        <v>9525</v>
      </c>
      <c r="E37" s="3">
        <v>1.0783</v>
      </c>
      <c r="F37" s="8">
        <f t="shared" si="0"/>
        <v>2.6458333333333335</v>
      </c>
    </row>
    <row r="38" spans="1:6" x14ac:dyDescent="0.25">
      <c r="A38" s="1" t="s">
        <v>72</v>
      </c>
      <c r="B38" s="1" t="s">
        <v>103</v>
      </c>
      <c r="C38" s="3">
        <v>1.13574850559234</v>
      </c>
      <c r="D38" s="1">
        <v>8859</v>
      </c>
      <c r="E38" s="3">
        <v>1.1079000000000001</v>
      </c>
      <c r="F38" s="8">
        <f t="shared" si="0"/>
        <v>2.4608333333333334</v>
      </c>
    </row>
    <row r="39" spans="1:6" x14ac:dyDescent="0.25">
      <c r="A39" s="1" t="s">
        <v>73</v>
      </c>
      <c r="B39" s="1" t="s">
        <v>103</v>
      </c>
      <c r="C39" s="3">
        <v>1.1354947090148899</v>
      </c>
      <c r="D39" s="1">
        <v>8722</v>
      </c>
      <c r="E39" s="3">
        <v>1.1060000000000001</v>
      </c>
      <c r="F39" s="8">
        <f t="shared" si="0"/>
        <v>2.4227777777777777</v>
      </c>
    </row>
    <row r="40" spans="1:6" x14ac:dyDescent="0.25">
      <c r="A40" s="1" t="s">
        <v>74</v>
      </c>
      <c r="B40" s="1" t="s">
        <v>103</v>
      </c>
      <c r="C40" s="3">
        <v>1.1346573829650799</v>
      </c>
      <c r="D40" s="1">
        <v>8662</v>
      </c>
      <c r="E40" s="3">
        <v>1.1052</v>
      </c>
      <c r="F40" s="8">
        <f t="shared" si="0"/>
        <v>2.4061111111111111</v>
      </c>
    </row>
    <row r="41" spans="1:6" x14ac:dyDescent="0.25">
      <c r="A41" s="1" t="s">
        <v>75</v>
      </c>
      <c r="B41" s="1" t="s">
        <v>103</v>
      </c>
      <c r="C41" s="3">
        <v>1.13679718971252</v>
      </c>
      <c r="D41" s="1">
        <v>8672</v>
      </c>
      <c r="E41" s="3">
        <v>1.1067</v>
      </c>
      <c r="F41" s="8">
        <f t="shared" si="0"/>
        <v>2.4088888888888889</v>
      </c>
    </row>
    <row r="42" spans="1:6" x14ac:dyDescent="0.25">
      <c r="A42" s="1" t="s">
        <v>56</v>
      </c>
      <c r="B42" s="1" t="s">
        <v>104</v>
      </c>
      <c r="C42" s="7">
        <v>1.11041831970214</v>
      </c>
      <c r="D42">
        <v>6744</v>
      </c>
      <c r="E42" s="7">
        <v>1.0764</v>
      </c>
      <c r="F42" s="8">
        <f t="shared" si="0"/>
        <v>1.8733333333333333</v>
      </c>
    </row>
    <row r="43" spans="1:6" x14ac:dyDescent="0.25">
      <c r="A43" s="1" t="s">
        <v>57</v>
      </c>
      <c r="B43" s="1" t="s">
        <v>104</v>
      </c>
      <c r="C43" s="3">
        <v>1.1338026523589999</v>
      </c>
      <c r="D43" s="1">
        <v>7844</v>
      </c>
      <c r="E43" s="3">
        <v>1.0965</v>
      </c>
      <c r="F43" s="8">
        <f t="shared" ref="F43:F61" si="1">D43/3600</f>
        <v>2.1788888888888889</v>
      </c>
    </row>
    <row r="44" spans="1:6" x14ac:dyDescent="0.25">
      <c r="A44" s="1" t="s">
        <v>58</v>
      </c>
      <c r="B44" s="1" t="s">
        <v>104</v>
      </c>
      <c r="C44" s="3">
        <v>1.1433684825897199</v>
      </c>
      <c r="D44" s="1">
        <v>7815</v>
      </c>
      <c r="E44" s="3">
        <v>1.1221000000000001</v>
      </c>
      <c r="F44" s="8">
        <f t="shared" si="1"/>
        <v>2.1708333333333334</v>
      </c>
    </row>
    <row r="45" spans="1:6" x14ac:dyDescent="0.25">
      <c r="A45" s="1" t="s">
        <v>59</v>
      </c>
      <c r="B45" s="1" t="s">
        <v>104</v>
      </c>
      <c r="C45" s="3">
        <v>1.14112961292266</v>
      </c>
      <c r="D45" s="1">
        <v>7752</v>
      </c>
      <c r="E45" s="3">
        <v>1.1035999999999999</v>
      </c>
      <c r="F45" s="8">
        <f t="shared" si="1"/>
        <v>2.1533333333333333</v>
      </c>
    </row>
    <row r="46" spans="1:6" x14ac:dyDescent="0.25">
      <c r="A46" s="1" t="s">
        <v>60</v>
      </c>
      <c r="B46" s="1" t="s">
        <v>104</v>
      </c>
      <c r="C46" s="3">
        <v>1.12357354164123</v>
      </c>
      <c r="D46" s="1">
        <v>7449</v>
      </c>
      <c r="E46" s="3">
        <v>1.0900000000000001</v>
      </c>
      <c r="F46" s="8">
        <f t="shared" si="1"/>
        <v>2.0691666666666668</v>
      </c>
    </row>
    <row r="47" spans="1:6" x14ac:dyDescent="0.25">
      <c r="A47" s="1" t="s">
        <v>61</v>
      </c>
      <c r="B47" s="1" t="s">
        <v>104</v>
      </c>
      <c r="C47" s="3">
        <v>1.1333440542221001</v>
      </c>
      <c r="D47" s="1">
        <v>7552</v>
      </c>
      <c r="E47" s="3">
        <v>1.0988</v>
      </c>
      <c r="F47" s="8">
        <f t="shared" si="1"/>
        <v>2.097777777777778</v>
      </c>
    </row>
    <row r="48" spans="1:6" x14ac:dyDescent="0.25">
      <c r="A48" s="1" t="s">
        <v>62</v>
      </c>
      <c r="B48" s="1" t="s">
        <v>104</v>
      </c>
      <c r="C48" s="3">
        <v>1.14112961292266</v>
      </c>
      <c r="D48" s="1">
        <v>7748</v>
      </c>
      <c r="E48" s="3">
        <v>1.1035999999999999</v>
      </c>
      <c r="F48" s="8">
        <f t="shared" si="1"/>
        <v>2.152222222222222</v>
      </c>
    </row>
    <row r="49" spans="1:6" x14ac:dyDescent="0.25">
      <c r="A49" s="1" t="s">
        <v>63</v>
      </c>
      <c r="B49" s="1" t="s">
        <v>104</v>
      </c>
      <c r="C49" s="3">
        <v>1.1487896442413299</v>
      </c>
      <c r="D49" s="1">
        <v>8022</v>
      </c>
      <c r="E49" s="3">
        <v>1.1071</v>
      </c>
      <c r="F49" s="8">
        <f t="shared" si="1"/>
        <v>2.2283333333333335</v>
      </c>
    </row>
    <row r="50" spans="1:6" x14ac:dyDescent="0.25">
      <c r="A50" s="1" t="s">
        <v>64</v>
      </c>
      <c r="B50" s="1" t="s">
        <v>104</v>
      </c>
      <c r="C50" s="3">
        <v>1.14112961292266</v>
      </c>
      <c r="D50" s="1">
        <v>7756</v>
      </c>
      <c r="E50" s="3">
        <v>1.1035999999999999</v>
      </c>
      <c r="F50" s="8">
        <f t="shared" si="1"/>
        <v>2.1544444444444446</v>
      </c>
    </row>
    <row r="51" spans="1:6" x14ac:dyDescent="0.25">
      <c r="A51" s="1" t="s">
        <v>65</v>
      </c>
      <c r="B51" s="1" t="s">
        <v>104</v>
      </c>
      <c r="C51" s="3">
        <v>1.0792680978775</v>
      </c>
      <c r="D51" s="1">
        <v>8075</v>
      </c>
      <c r="E51" s="3">
        <v>1.0364</v>
      </c>
      <c r="F51" s="8">
        <f t="shared" si="1"/>
        <v>2.2430555555555554</v>
      </c>
    </row>
    <row r="52" spans="1:6" x14ac:dyDescent="0.25">
      <c r="A52" s="1" t="s">
        <v>66</v>
      </c>
      <c r="B52" s="1" t="s">
        <v>104</v>
      </c>
      <c r="C52" s="3">
        <v>1.0744439363479601</v>
      </c>
      <c r="D52" s="1">
        <v>8852</v>
      </c>
      <c r="E52" s="3">
        <v>1.03</v>
      </c>
      <c r="F52" s="8">
        <f t="shared" si="1"/>
        <v>2.4588888888888887</v>
      </c>
    </row>
    <row r="53" spans="1:6" x14ac:dyDescent="0.25">
      <c r="A53" s="1" t="s">
        <v>67</v>
      </c>
      <c r="B53" s="1" t="s">
        <v>104</v>
      </c>
      <c r="C53" s="3">
        <v>1.0708967447280799</v>
      </c>
      <c r="D53" s="1">
        <v>10997</v>
      </c>
      <c r="E53" s="3">
        <v>1.0269999999999999</v>
      </c>
      <c r="F53" s="8">
        <f t="shared" si="1"/>
        <v>3.0547222222222223</v>
      </c>
    </row>
    <row r="54" spans="1:6" x14ac:dyDescent="0.25">
      <c r="A54" s="1" t="s">
        <v>68</v>
      </c>
      <c r="B54" s="1" t="s">
        <v>104</v>
      </c>
      <c r="C54" s="3">
        <v>1.0727070569992001</v>
      </c>
      <c r="D54" s="1">
        <v>8877</v>
      </c>
      <c r="E54" s="3">
        <v>1.0286999999999999</v>
      </c>
      <c r="F54" s="8">
        <f t="shared" si="1"/>
        <v>2.4658333333333333</v>
      </c>
    </row>
    <row r="55" spans="1:6" x14ac:dyDescent="0.25">
      <c r="A55" s="1" t="s">
        <v>69</v>
      </c>
      <c r="B55" s="1" t="s">
        <v>104</v>
      </c>
      <c r="C55" s="3">
        <v>1.0768737792968699</v>
      </c>
      <c r="D55" s="1">
        <v>8753</v>
      </c>
      <c r="E55" s="3">
        <v>1.0348999999999999</v>
      </c>
      <c r="F55" s="8">
        <f t="shared" si="1"/>
        <v>2.4313888888888888</v>
      </c>
    </row>
    <row r="56" spans="1:6" x14ac:dyDescent="0.25">
      <c r="A56" s="1" t="s">
        <v>70</v>
      </c>
      <c r="B56" s="1" t="s">
        <v>104</v>
      </c>
      <c r="C56" s="3">
        <v>1.07408607006073</v>
      </c>
      <c r="D56" s="1">
        <v>8505</v>
      </c>
      <c r="E56" s="3">
        <v>1.032</v>
      </c>
      <c r="F56" s="8">
        <f t="shared" si="1"/>
        <v>2.3624999999999998</v>
      </c>
    </row>
    <row r="57" spans="1:6" x14ac:dyDescent="0.25">
      <c r="A57" s="1" t="s">
        <v>71</v>
      </c>
      <c r="B57" s="1" t="s">
        <v>104</v>
      </c>
      <c r="C57" s="3">
        <v>1.1095719337463299</v>
      </c>
      <c r="D57" s="1">
        <v>8254</v>
      </c>
      <c r="E57" s="3">
        <v>1.0723</v>
      </c>
      <c r="F57" s="8">
        <f t="shared" si="1"/>
        <v>2.2927777777777778</v>
      </c>
    </row>
    <row r="58" spans="1:6" x14ac:dyDescent="0.25">
      <c r="A58" s="1" t="s">
        <v>72</v>
      </c>
      <c r="B58" s="1" t="s">
        <v>104</v>
      </c>
      <c r="C58" s="3">
        <v>1.13844954967498</v>
      </c>
      <c r="D58" s="1">
        <v>8051</v>
      </c>
      <c r="E58" s="3">
        <v>1.1045</v>
      </c>
      <c r="F58" s="8">
        <f t="shared" si="1"/>
        <v>2.236388888888889</v>
      </c>
    </row>
    <row r="59" spans="1:6" x14ac:dyDescent="0.25">
      <c r="A59" s="1" t="s">
        <v>73</v>
      </c>
      <c r="B59" s="1" t="s">
        <v>104</v>
      </c>
      <c r="C59" s="3">
        <v>1.13623511791229</v>
      </c>
      <c r="D59" s="1">
        <v>8040</v>
      </c>
      <c r="E59" s="3">
        <v>1.0996999999999999</v>
      </c>
      <c r="F59" s="8">
        <f t="shared" si="1"/>
        <v>2.2333333333333334</v>
      </c>
    </row>
    <row r="60" spans="1:6" x14ac:dyDescent="0.25">
      <c r="A60" s="1" t="s">
        <v>74</v>
      </c>
      <c r="B60" s="1" t="s">
        <v>104</v>
      </c>
      <c r="C60" s="3">
        <v>1.1337159872055</v>
      </c>
      <c r="D60" s="1">
        <v>8051</v>
      </c>
      <c r="E60" s="3">
        <v>1.0968</v>
      </c>
      <c r="F60" s="8">
        <f t="shared" si="1"/>
        <v>2.236388888888889</v>
      </c>
    </row>
    <row r="61" spans="1:6" x14ac:dyDescent="0.25">
      <c r="A61" s="1" t="s">
        <v>75</v>
      </c>
      <c r="B61" s="1" t="s">
        <v>104</v>
      </c>
      <c r="C61" s="3">
        <v>1.1349464654922401</v>
      </c>
      <c r="D61" s="1">
        <v>8026</v>
      </c>
      <c r="E61" s="3">
        <v>1.0989</v>
      </c>
      <c r="F61" s="8">
        <f t="shared" si="1"/>
        <v>2.2294444444444443</v>
      </c>
    </row>
  </sheetData>
  <phoneticPr fontId="3" type="noConversion"/>
  <pageMargins left="0.7" right="0.7" top="0.75" bottom="0.75" header="0.3" footer="0.3"/>
  <pageSetup orientation="landscape"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BCC8D7-FE74-448A-97C8-AE261CA9C673}">
  <dimension ref="E2:Q31"/>
  <sheetViews>
    <sheetView zoomScale="130" zoomScaleNormal="130" workbookViewId="0">
      <selection activeCell="F7" sqref="F7"/>
    </sheetView>
  </sheetViews>
  <sheetFormatPr defaultRowHeight="20.100000000000001" customHeight="1" x14ac:dyDescent="0.25"/>
  <cols>
    <col min="1" max="5" width="9.140625" style="1"/>
    <col min="6" max="6" width="19.85546875" style="1" bestFit="1" customWidth="1"/>
    <col min="7" max="9" width="5.7109375" style="1" customWidth="1"/>
    <col min="10" max="12" width="10.7109375" style="1" customWidth="1"/>
    <col min="13" max="13" width="2" style="1" customWidth="1"/>
    <col min="14" max="16" width="10.7109375" style="1" customWidth="1"/>
    <col min="17" max="16384" width="9.140625" style="1"/>
  </cols>
  <sheetData>
    <row r="2" spans="5:17" ht="20.100000000000001" customHeight="1" x14ac:dyDescent="0.25"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</row>
    <row r="3" spans="5:17" ht="20.100000000000001" customHeight="1" x14ac:dyDescent="0.25">
      <c r="E3" s="39"/>
      <c r="F3" s="39"/>
      <c r="G3" s="39"/>
      <c r="H3" s="39"/>
      <c r="I3" s="39"/>
      <c r="J3" s="40" t="s">
        <v>108</v>
      </c>
      <c r="K3" s="39" t="s">
        <v>118</v>
      </c>
      <c r="L3" s="39"/>
      <c r="M3" s="39"/>
      <c r="N3" s="39"/>
      <c r="O3" s="39"/>
      <c r="P3" s="39"/>
      <c r="Q3" s="39"/>
    </row>
    <row r="4" spans="5:17" ht="20.100000000000001" customHeight="1" x14ac:dyDescent="0.25">
      <c r="E4" s="39"/>
      <c r="F4" s="39"/>
      <c r="G4" s="39"/>
      <c r="H4" s="39"/>
      <c r="I4" s="39"/>
      <c r="J4" s="41" t="s">
        <v>109</v>
      </c>
      <c r="K4" s="39" t="s">
        <v>119</v>
      </c>
      <c r="L4" s="39"/>
      <c r="M4" s="39"/>
      <c r="N4" s="39"/>
      <c r="O4" s="39"/>
      <c r="P4" s="39"/>
      <c r="Q4" s="39"/>
    </row>
    <row r="5" spans="5:17" ht="20.100000000000001" customHeight="1" thickBot="1" x14ac:dyDescent="0.3">
      <c r="E5" s="39"/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5:17" ht="20.100000000000001" customHeight="1" thickBot="1" x14ac:dyDescent="0.3">
      <c r="E6" s="39"/>
      <c r="J6" s="119" t="s">
        <v>113</v>
      </c>
      <c r="K6" s="120"/>
      <c r="L6" s="121"/>
      <c r="M6" s="39"/>
      <c r="N6" s="122" t="s">
        <v>117</v>
      </c>
      <c r="O6" s="123"/>
      <c r="P6" s="124"/>
      <c r="Q6" s="39"/>
    </row>
    <row r="7" spans="5:17" ht="20.100000000000001" customHeight="1" thickBot="1" x14ac:dyDescent="0.3">
      <c r="E7" s="39"/>
      <c r="F7" s="14" t="s">
        <v>112</v>
      </c>
      <c r="G7" s="15" t="s">
        <v>105</v>
      </c>
      <c r="H7" s="15" t="s">
        <v>106</v>
      </c>
      <c r="I7" s="15" t="s">
        <v>107</v>
      </c>
      <c r="J7" s="17" t="s">
        <v>108</v>
      </c>
      <c r="K7" s="15" t="s">
        <v>109</v>
      </c>
      <c r="L7" s="16" t="s">
        <v>110</v>
      </c>
      <c r="M7" s="39"/>
      <c r="N7" s="17" t="s">
        <v>108</v>
      </c>
      <c r="O7" s="15" t="s">
        <v>109</v>
      </c>
      <c r="P7" s="16" t="s">
        <v>111</v>
      </c>
      <c r="Q7" s="39"/>
    </row>
    <row r="8" spans="5:17" ht="20.100000000000001" customHeight="1" x14ac:dyDescent="0.25">
      <c r="E8" s="39"/>
      <c r="F8" s="18" t="s">
        <v>57</v>
      </c>
      <c r="G8" s="19">
        <v>8</v>
      </c>
      <c r="H8" s="19">
        <v>1</v>
      </c>
      <c r="I8" s="19">
        <v>0</v>
      </c>
      <c r="J8" s="36">
        <v>2.8627777777777776</v>
      </c>
      <c r="K8" s="20">
        <v>2.1788888888888889</v>
      </c>
      <c r="L8" s="21">
        <f>(J8-K8)/J8</f>
        <v>0.23888996700950899</v>
      </c>
      <c r="M8" s="39"/>
      <c r="N8" s="28">
        <v>1.12694776058197</v>
      </c>
      <c r="O8" s="29">
        <v>1.1338026523589999</v>
      </c>
      <c r="P8" s="30">
        <f>(O8-N8)</f>
        <v>6.8548917770299145E-3</v>
      </c>
      <c r="Q8" s="39"/>
    </row>
    <row r="9" spans="5:17" ht="20.100000000000001" customHeight="1" x14ac:dyDescent="0.25">
      <c r="E9" s="39"/>
      <c r="F9" s="22" t="s">
        <v>58</v>
      </c>
      <c r="G9" s="1">
        <v>8</v>
      </c>
      <c r="H9" s="1">
        <v>1</v>
      </c>
      <c r="I9" s="1">
        <v>0</v>
      </c>
      <c r="J9" s="37">
        <v>2.8602777777777777</v>
      </c>
      <c r="K9" s="8">
        <v>2.1708333333333334</v>
      </c>
      <c r="L9" s="23">
        <f t="shared" ref="L9:L26" si="0">(J9-K9)/J9</f>
        <v>0.24104107992619206</v>
      </c>
      <c r="M9" s="39"/>
      <c r="N9" s="31">
        <v>1.1370919942855799</v>
      </c>
      <c r="O9" s="3">
        <v>1.1433684825897199</v>
      </c>
      <c r="P9" s="32">
        <f t="shared" ref="P9:P26" si="1">(O9-N9)</f>
        <v>6.27648830413996E-3</v>
      </c>
      <c r="Q9" s="39"/>
    </row>
    <row r="10" spans="5:17" ht="20.100000000000001" customHeight="1" thickBot="1" x14ac:dyDescent="0.3">
      <c r="E10" s="39"/>
      <c r="F10" s="24" t="s">
        <v>59</v>
      </c>
      <c r="G10" s="25">
        <v>8</v>
      </c>
      <c r="H10" s="25">
        <v>1</v>
      </c>
      <c r="I10" s="25">
        <v>0</v>
      </c>
      <c r="J10" s="38">
        <v>2.7875000000000001</v>
      </c>
      <c r="K10" s="26">
        <v>2.1533333333333333</v>
      </c>
      <c r="L10" s="27">
        <f t="shared" si="0"/>
        <v>0.2275037369207773</v>
      </c>
      <c r="M10" s="39"/>
      <c r="N10" s="33">
        <v>1.1295984983444201</v>
      </c>
      <c r="O10" s="34">
        <v>1.14112961292266</v>
      </c>
      <c r="P10" s="35">
        <f t="shared" si="1"/>
        <v>1.1531114578239965E-2</v>
      </c>
      <c r="Q10" s="39"/>
    </row>
    <row r="11" spans="5:17" ht="20.100000000000001" customHeight="1" x14ac:dyDescent="0.25">
      <c r="E11" s="39"/>
      <c r="F11" s="18" t="s">
        <v>60</v>
      </c>
      <c r="G11" s="19">
        <v>2</v>
      </c>
      <c r="H11" s="19">
        <v>1</v>
      </c>
      <c r="I11" s="19">
        <v>0</v>
      </c>
      <c r="J11" s="36">
        <v>2.3319444444444444</v>
      </c>
      <c r="K11" s="20">
        <v>2.0691666666666668</v>
      </c>
      <c r="L11" s="21">
        <f t="shared" si="0"/>
        <v>0.11268612269207852</v>
      </c>
      <c r="M11" s="39"/>
      <c r="N11" s="28">
        <v>1.11804747581481</v>
      </c>
      <c r="O11" s="29">
        <v>1.12357354164123</v>
      </c>
      <c r="P11" s="30">
        <f t="shared" si="1"/>
        <v>5.5260658264200124E-3</v>
      </c>
      <c r="Q11" s="39"/>
    </row>
    <row r="12" spans="5:17" ht="20.100000000000001" customHeight="1" x14ac:dyDescent="0.25">
      <c r="E12" s="39"/>
      <c r="F12" s="22" t="s">
        <v>61</v>
      </c>
      <c r="G12" s="1">
        <v>4</v>
      </c>
      <c r="H12" s="1">
        <v>1</v>
      </c>
      <c r="I12" s="1">
        <v>0</v>
      </c>
      <c r="J12" s="37">
        <v>2.4630555555555556</v>
      </c>
      <c r="K12" s="8">
        <v>2.097777777777778</v>
      </c>
      <c r="L12" s="23">
        <f t="shared" si="0"/>
        <v>0.14830269538739138</v>
      </c>
      <c r="M12" s="39"/>
      <c r="N12" s="31">
        <v>1.1246691942214899</v>
      </c>
      <c r="O12" s="3">
        <v>1.1333440542221001</v>
      </c>
      <c r="P12" s="32">
        <f t="shared" si="1"/>
        <v>8.6748600006101295E-3</v>
      </c>
      <c r="Q12" s="39"/>
    </row>
    <row r="13" spans="5:17" ht="20.100000000000001" customHeight="1" x14ac:dyDescent="0.25">
      <c r="E13" s="39"/>
      <c r="F13" s="22" t="s">
        <v>62</v>
      </c>
      <c r="G13" s="1">
        <v>8</v>
      </c>
      <c r="H13" s="1">
        <v>1</v>
      </c>
      <c r="I13" s="1">
        <v>0</v>
      </c>
      <c r="J13" s="37">
        <v>2.8013888888888889</v>
      </c>
      <c r="K13" s="8">
        <v>2.152222222222222</v>
      </c>
      <c r="L13" s="23">
        <f t="shared" si="0"/>
        <v>0.2317302925136342</v>
      </c>
      <c r="M13" s="39"/>
      <c r="N13" s="31">
        <v>1.1295984983444201</v>
      </c>
      <c r="O13" s="3">
        <v>1.14112961292266</v>
      </c>
      <c r="P13" s="32">
        <f t="shared" si="1"/>
        <v>1.1531114578239965E-2</v>
      </c>
      <c r="Q13" s="39"/>
    </row>
    <row r="14" spans="5:17" ht="20.100000000000001" customHeight="1" thickBot="1" x14ac:dyDescent="0.3">
      <c r="E14" s="39"/>
      <c r="F14" s="24" t="s">
        <v>63</v>
      </c>
      <c r="G14" s="25">
        <v>16</v>
      </c>
      <c r="H14" s="25">
        <v>1</v>
      </c>
      <c r="I14" s="25">
        <v>0</v>
      </c>
      <c r="J14" s="38">
        <v>3.59</v>
      </c>
      <c r="K14" s="26">
        <v>2.2283333333333335</v>
      </c>
      <c r="L14" s="27">
        <f t="shared" si="0"/>
        <v>0.37929433611884861</v>
      </c>
      <c r="M14" s="39"/>
      <c r="N14" s="33">
        <v>1.1377271413803101</v>
      </c>
      <c r="O14" s="34">
        <v>1.1487896442413299</v>
      </c>
      <c r="P14" s="35">
        <f t="shared" si="1"/>
        <v>1.1062502861019841E-2</v>
      </c>
      <c r="Q14" s="39"/>
    </row>
    <row r="15" spans="5:17" ht="20.100000000000001" customHeight="1" x14ac:dyDescent="0.25">
      <c r="E15" s="39"/>
      <c r="F15" s="18" t="s">
        <v>64</v>
      </c>
      <c r="G15" s="19">
        <v>8</v>
      </c>
      <c r="H15" s="19">
        <v>1</v>
      </c>
      <c r="I15" s="19">
        <v>0</v>
      </c>
      <c r="J15" s="36">
        <v>2.7908333333333335</v>
      </c>
      <c r="K15" s="20">
        <v>2.1544444444444446</v>
      </c>
      <c r="L15" s="21">
        <f t="shared" si="0"/>
        <v>0.2280282671444212</v>
      </c>
      <c r="M15" s="39"/>
      <c r="N15" s="28">
        <v>1.1295984983444201</v>
      </c>
      <c r="O15" s="29">
        <v>1.14112961292266</v>
      </c>
      <c r="P15" s="30">
        <f t="shared" si="1"/>
        <v>1.1531114578239965E-2</v>
      </c>
      <c r="Q15" s="39"/>
    </row>
    <row r="16" spans="5:17" ht="20.100000000000001" customHeight="1" x14ac:dyDescent="0.25">
      <c r="E16" s="39"/>
      <c r="F16" s="22" t="s">
        <v>65</v>
      </c>
      <c r="G16" s="1">
        <v>16</v>
      </c>
      <c r="H16" s="1">
        <v>2</v>
      </c>
      <c r="I16" s="1">
        <v>0</v>
      </c>
      <c r="J16" s="37">
        <v>3.4044444444444446</v>
      </c>
      <c r="K16" s="8">
        <v>2.2430555555555554</v>
      </c>
      <c r="L16" s="23">
        <f t="shared" si="0"/>
        <v>0.34113903394255884</v>
      </c>
      <c r="M16" s="39"/>
      <c r="N16" s="31">
        <v>1.0658214092254601</v>
      </c>
      <c r="O16" s="3">
        <v>1.0792680978775</v>
      </c>
      <c r="P16" s="32">
        <f t="shared" si="1"/>
        <v>1.3446688652039906E-2</v>
      </c>
      <c r="Q16" s="39"/>
    </row>
    <row r="17" spans="5:17" ht="20.100000000000001" customHeight="1" x14ac:dyDescent="0.25">
      <c r="E17" s="39"/>
      <c r="F17" s="22" t="s">
        <v>66</v>
      </c>
      <c r="G17" s="1">
        <v>32</v>
      </c>
      <c r="H17" s="1">
        <v>4</v>
      </c>
      <c r="I17" s="1">
        <v>0</v>
      </c>
      <c r="J17" s="37">
        <v>4.980833333333333</v>
      </c>
      <c r="K17" s="8">
        <v>2.4588888888888887</v>
      </c>
      <c r="L17" s="23">
        <f t="shared" si="0"/>
        <v>0.50632981986503822</v>
      </c>
      <c r="M17" s="39"/>
      <c r="N17" s="31">
        <v>1.0581374168395901</v>
      </c>
      <c r="O17" s="3">
        <v>1.0744439363479601</v>
      </c>
      <c r="P17" s="32">
        <f t="shared" si="1"/>
        <v>1.6306519508370032E-2</v>
      </c>
      <c r="Q17" s="39"/>
    </row>
    <row r="18" spans="5:17" ht="20.100000000000001" customHeight="1" thickBot="1" x14ac:dyDescent="0.3">
      <c r="E18" s="39"/>
      <c r="F18" s="24" t="s">
        <v>67</v>
      </c>
      <c r="G18" s="25">
        <v>64</v>
      </c>
      <c r="H18" s="25">
        <v>8</v>
      </c>
      <c r="I18" s="25">
        <v>0</v>
      </c>
      <c r="J18" s="38">
        <v>7.6569444444444441</v>
      </c>
      <c r="K18" s="26">
        <v>3.0547222222222223</v>
      </c>
      <c r="L18" s="27">
        <f t="shared" si="0"/>
        <v>0.60105205877017964</v>
      </c>
      <c r="M18" s="39"/>
      <c r="N18" s="33">
        <v>1.05835402011871</v>
      </c>
      <c r="O18" s="34">
        <v>1.0708967447280799</v>
      </c>
      <c r="P18" s="35">
        <f t="shared" si="1"/>
        <v>1.2542724609369893E-2</v>
      </c>
      <c r="Q18" s="39"/>
    </row>
    <row r="19" spans="5:17" ht="20.100000000000001" customHeight="1" x14ac:dyDescent="0.25">
      <c r="E19" s="39"/>
      <c r="F19" s="18" t="s">
        <v>68</v>
      </c>
      <c r="G19" s="19">
        <v>32</v>
      </c>
      <c r="H19" s="19">
        <v>4</v>
      </c>
      <c r="I19" s="19">
        <v>0</v>
      </c>
      <c r="J19" s="36">
        <v>4.9780555555555557</v>
      </c>
      <c r="K19" s="20">
        <v>2.4658333333333333</v>
      </c>
      <c r="L19" s="21">
        <f t="shared" si="0"/>
        <v>0.50465933820657327</v>
      </c>
      <c r="M19" s="39"/>
      <c r="N19" s="28">
        <v>1.0581374168395901</v>
      </c>
      <c r="O19" s="29">
        <v>1.0727070569992001</v>
      </c>
      <c r="P19" s="30">
        <f t="shared" si="1"/>
        <v>1.4569640159610042E-2</v>
      </c>
      <c r="Q19" s="39"/>
    </row>
    <row r="20" spans="5:17" ht="20.100000000000001" customHeight="1" x14ac:dyDescent="0.25">
      <c r="E20" s="39"/>
      <c r="F20" s="22" t="s">
        <v>69</v>
      </c>
      <c r="G20" s="1">
        <v>31</v>
      </c>
      <c r="H20" s="1">
        <v>3</v>
      </c>
      <c r="I20" s="1">
        <v>1</v>
      </c>
      <c r="J20" s="37">
        <v>4.7872222222222218</v>
      </c>
      <c r="K20" s="8">
        <v>2.4313888888888888</v>
      </c>
      <c r="L20" s="23">
        <f t="shared" si="0"/>
        <v>0.49210862249042586</v>
      </c>
      <c r="M20" s="39"/>
      <c r="N20" s="31">
        <v>1.0572606325149501</v>
      </c>
      <c r="O20" s="3">
        <v>1.0768737792968699</v>
      </c>
      <c r="P20" s="32">
        <f t="shared" si="1"/>
        <v>1.9613146781919832E-2</v>
      </c>
      <c r="Q20" s="39"/>
    </row>
    <row r="21" spans="5:17" ht="20.100000000000001" customHeight="1" x14ac:dyDescent="0.25">
      <c r="E21" s="39"/>
      <c r="F21" s="22" t="s">
        <v>70</v>
      </c>
      <c r="G21" s="1">
        <v>30</v>
      </c>
      <c r="H21" s="1">
        <v>2</v>
      </c>
      <c r="I21" s="1">
        <v>2</v>
      </c>
      <c r="J21" s="37">
        <v>4.576944444444444</v>
      </c>
      <c r="K21" s="8">
        <v>2.3624999999999998</v>
      </c>
      <c r="L21" s="23">
        <f t="shared" si="0"/>
        <v>0.48382593918795896</v>
      </c>
      <c r="M21" s="39"/>
      <c r="N21" s="31">
        <v>1.05996394157409</v>
      </c>
      <c r="O21" s="3">
        <v>1.07408607006073</v>
      </c>
      <c r="P21" s="32">
        <f t="shared" si="1"/>
        <v>1.4122128486639962E-2</v>
      </c>
      <c r="Q21" s="39"/>
    </row>
    <row r="22" spans="5:17" ht="20.100000000000001" customHeight="1" thickBot="1" x14ac:dyDescent="0.3">
      <c r="E22" s="39"/>
      <c r="F22" s="24" t="s">
        <v>71</v>
      </c>
      <c r="G22" s="25">
        <v>29</v>
      </c>
      <c r="H22" s="25">
        <v>1</v>
      </c>
      <c r="I22" s="25">
        <v>3</v>
      </c>
      <c r="J22" s="38">
        <v>4.3561111111111108</v>
      </c>
      <c r="K22" s="26">
        <v>2.2927777777777778</v>
      </c>
      <c r="L22" s="27">
        <f t="shared" si="0"/>
        <v>0.47366407346001782</v>
      </c>
      <c r="M22" s="39"/>
      <c r="N22" s="33">
        <v>1.1013923883438099</v>
      </c>
      <c r="O22" s="34">
        <v>1.1095719337463299</v>
      </c>
      <c r="P22" s="35">
        <f t="shared" si="1"/>
        <v>8.1795454025199721E-3</v>
      </c>
      <c r="Q22" s="39"/>
    </row>
    <row r="23" spans="5:17" ht="20.100000000000001" customHeight="1" x14ac:dyDescent="0.25">
      <c r="E23" s="39"/>
      <c r="F23" s="18" t="s">
        <v>72</v>
      </c>
      <c r="G23" s="19">
        <v>8</v>
      </c>
      <c r="H23" s="19">
        <v>1</v>
      </c>
      <c r="I23" s="19">
        <v>0</v>
      </c>
      <c r="J23" s="36">
        <v>2.7780555555555555</v>
      </c>
      <c r="K23" s="20">
        <v>2.236388888888889</v>
      </c>
      <c r="L23" s="21">
        <f t="shared" si="0"/>
        <v>0.19498050194980496</v>
      </c>
      <c r="M23" s="39"/>
      <c r="N23" s="28">
        <v>1.1316434144973699</v>
      </c>
      <c r="O23" s="29">
        <v>1.13844954967498</v>
      </c>
      <c r="P23" s="30">
        <f t="shared" si="1"/>
        <v>6.8061351776100842E-3</v>
      </c>
      <c r="Q23" s="39"/>
    </row>
    <row r="24" spans="5:17" ht="20.100000000000001" customHeight="1" x14ac:dyDescent="0.25">
      <c r="E24" s="39"/>
      <c r="F24" s="22" t="s">
        <v>73</v>
      </c>
      <c r="G24" s="1">
        <v>8</v>
      </c>
      <c r="H24" s="1">
        <v>1</v>
      </c>
      <c r="I24" s="1">
        <v>0</v>
      </c>
      <c r="J24" s="37">
        <v>2.766111111111111</v>
      </c>
      <c r="K24" s="8">
        <v>2.2333333333333334</v>
      </c>
      <c r="L24" s="23">
        <f t="shared" si="0"/>
        <v>0.19260895762201238</v>
      </c>
      <c r="M24" s="39"/>
      <c r="N24" s="31">
        <v>1.1320948600769001</v>
      </c>
      <c r="O24" s="3">
        <v>1.13623511791229</v>
      </c>
      <c r="P24" s="32">
        <f t="shared" si="1"/>
        <v>4.14025783538996E-3</v>
      </c>
      <c r="Q24" s="39"/>
    </row>
    <row r="25" spans="5:17" ht="20.100000000000001" customHeight="1" x14ac:dyDescent="0.25">
      <c r="E25" s="39"/>
      <c r="F25" s="22" t="s">
        <v>74</v>
      </c>
      <c r="G25" s="1">
        <v>8</v>
      </c>
      <c r="H25" s="1">
        <v>1</v>
      </c>
      <c r="I25" s="1">
        <v>0</v>
      </c>
      <c r="J25" s="37">
        <v>2.74</v>
      </c>
      <c r="K25" s="8">
        <v>2.236388888888889</v>
      </c>
      <c r="L25" s="23">
        <f t="shared" si="0"/>
        <v>0.18379967558799679</v>
      </c>
      <c r="M25" s="39"/>
      <c r="N25" s="31">
        <v>1.1334214210510201</v>
      </c>
      <c r="O25" s="3">
        <v>1.1337159872055</v>
      </c>
      <c r="P25" s="32">
        <f t="shared" si="1"/>
        <v>2.9456615447998047E-4</v>
      </c>
      <c r="Q25" s="39"/>
    </row>
    <row r="26" spans="5:17" ht="20.100000000000001" customHeight="1" thickBot="1" x14ac:dyDescent="0.3">
      <c r="E26" s="39"/>
      <c r="F26" s="24" t="s">
        <v>75</v>
      </c>
      <c r="G26" s="25">
        <v>8</v>
      </c>
      <c r="H26" s="25">
        <v>1</v>
      </c>
      <c r="I26" s="25">
        <v>0</v>
      </c>
      <c r="J26" s="38">
        <v>2.7516666666666665</v>
      </c>
      <c r="K26" s="26">
        <v>2.2294444444444443</v>
      </c>
      <c r="L26" s="27">
        <f t="shared" si="0"/>
        <v>0.18978396931152836</v>
      </c>
      <c r="M26" s="39"/>
      <c r="N26" s="33">
        <v>1.1313065290451001</v>
      </c>
      <c r="O26" s="34">
        <v>1.1349464654922401</v>
      </c>
      <c r="P26" s="35">
        <f t="shared" si="1"/>
        <v>3.639936447140002E-3</v>
      </c>
      <c r="Q26" s="39"/>
    </row>
    <row r="27" spans="5:17" ht="20.100000000000001" customHeight="1" x14ac:dyDescent="0.25">
      <c r="E27" s="39"/>
      <c r="F27" s="39"/>
      <c r="G27" s="39"/>
      <c r="H27" s="39"/>
      <c r="I27" s="39"/>
      <c r="J27" s="39"/>
      <c r="K27" s="1" t="s">
        <v>114</v>
      </c>
      <c r="L27" s="12">
        <f>AVERAGE(L8:L26)</f>
        <v>0.31428570990036558</v>
      </c>
      <c r="M27" s="39"/>
      <c r="N27" s="39"/>
      <c r="O27" s="1" t="s">
        <v>114</v>
      </c>
      <c r="P27" s="13">
        <f>AVERAGE(P8:P26)</f>
        <v>9.8236548273173373E-3</v>
      </c>
      <c r="Q27" s="39"/>
    </row>
    <row r="28" spans="5:17" ht="20.100000000000001" customHeight="1" x14ac:dyDescent="0.25">
      <c r="E28" s="39"/>
      <c r="F28" s="39"/>
      <c r="G28" s="39"/>
      <c r="H28" s="39"/>
      <c r="I28" s="39"/>
      <c r="J28" s="39"/>
      <c r="K28" s="1" t="s">
        <v>116</v>
      </c>
      <c r="L28" s="12">
        <f>MIN(L8:L26)</f>
        <v>0.11268612269207852</v>
      </c>
      <c r="M28" s="39"/>
      <c r="N28" s="39"/>
      <c r="O28" s="1" t="s">
        <v>116</v>
      </c>
      <c r="P28" s="13">
        <f>MIN(P8:P26)</f>
        <v>2.9456615447998047E-4</v>
      </c>
      <c r="Q28" s="39"/>
    </row>
    <row r="29" spans="5:17" ht="20.100000000000001" customHeight="1" x14ac:dyDescent="0.25">
      <c r="E29" s="39"/>
      <c r="F29" s="39"/>
      <c r="G29" s="39"/>
      <c r="H29" s="39"/>
      <c r="I29" s="39"/>
      <c r="J29" s="39"/>
      <c r="K29" s="1" t="s">
        <v>115</v>
      </c>
      <c r="L29" s="12">
        <f>MAX(L8:L26)</f>
        <v>0.60105205877017964</v>
      </c>
      <c r="M29" s="39"/>
      <c r="N29" s="39"/>
      <c r="O29" s="1" t="s">
        <v>115</v>
      </c>
      <c r="P29" s="13">
        <f>MAX(P8:P26)</f>
        <v>1.9613146781919832E-2</v>
      </c>
      <c r="Q29" s="39"/>
    </row>
    <row r="30" spans="5:17" ht="20.100000000000001" customHeight="1" x14ac:dyDescent="0.25">
      <c r="E30" s="39"/>
      <c r="F30" s="39"/>
      <c r="G30" s="39"/>
      <c r="H30" s="39"/>
      <c r="I30" s="39"/>
      <c r="J30" s="39"/>
      <c r="K30" s="39"/>
      <c r="L30" s="39"/>
      <c r="M30" s="39"/>
      <c r="N30" s="39"/>
      <c r="O30" s="39"/>
      <c r="P30" s="39"/>
      <c r="Q30" s="39"/>
    </row>
    <row r="31" spans="5:17" ht="20.100000000000001" customHeight="1" x14ac:dyDescent="0.25">
      <c r="F31" s="39"/>
      <c r="G31" s="39"/>
      <c r="H31" s="39"/>
      <c r="I31" s="39"/>
      <c r="J31" s="39"/>
      <c r="K31" s="39"/>
      <c r="L31" s="39"/>
      <c r="M31" s="39"/>
      <c r="N31" s="39"/>
      <c r="O31" s="39"/>
      <c r="P31" s="39"/>
      <c r="Q31" s="39"/>
    </row>
  </sheetData>
  <mergeCells count="2">
    <mergeCell ref="J6:L6"/>
    <mergeCell ref="N6:P6"/>
  </mergeCells>
  <conditionalFormatting sqref="L8:L26">
    <cfRule type="colorScale" priority="3">
      <colorScale>
        <cfvo type="min"/>
        <cfvo type="max"/>
        <color rgb="FFFFEF9C"/>
        <color rgb="FF63BE7B"/>
      </colorScale>
    </cfRule>
  </conditionalFormatting>
  <conditionalFormatting sqref="L27:L29">
    <cfRule type="colorScale" priority="2">
      <colorScale>
        <cfvo type="min"/>
        <cfvo type="max"/>
        <color rgb="FFFFEF9C"/>
        <color rgb="FF63BE7B"/>
      </colorScale>
    </cfRule>
  </conditionalFormatting>
  <conditionalFormatting sqref="P8:P29">
    <cfRule type="colorScale" priority="1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8D4235-B2C3-4C39-BBF5-25C0A9546780}">
  <dimension ref="F6:Z1048564"/>
  <sheetViews>
    <sheetView tabSelected="1" zoomScale="130" zoomScaleNormal="130" workbookViewId="0">
      <selection activeCell="L21" sqref="L21"/>
    </sheetView>
  </sheetViews>
  <sheetFormatPr defaultRowHeight="24" customHeight="1" x14ac:dyDescent="0.25"/>
  <cols>
    <col min="1" max="6" width="9.140625" style="54"/>
    <col min="7" max="7" width="38.85546875" style="54" bestFit="1" customWidth="1"/>
    <col min="8" max="11" width="12.7109375" style="54" customWidth="1"/>
    <col min="12" max="12" width="18.5703125" style="54" customWidth="1"/>
    <col min="13" max="17" width="5.7109375" style="54" customWidth="1"/>
    <col min="18" max="18" width="13" style="54" bestFit="1" customWidth="1"/>
    <col min="19" max="19" width="10.42578125" style="54" customWidth="1"/>
    <col min="20" max="20" width="11.7109375" style="54" customWidth="1"/>
    <col min="21" max="21" width="15" style="54" customWidth="1"/>
    <col min="22" max="22" width="12" style="54" bestFit="1" customWidth="1"/>
    <col min="23" max="23" width="9.85546875" style="54" bestFit="1" customWidth="1"/>
    <col min="24" max="24" width="12.5703125" style="54" bestFit="1" customWidth="1"/>
    <col min="25" max="25" width="18.5703125" style="54" bestFit="1" customWidth="1"/>
    <col min="26" max="26" width="28.28515625" style="54" bestFit="1" customWidth="1"/>
    <col min="27" max="16384" width="9.140625" style="54"/>
  </cols>
  <sheetData>
    <row r="6" spans="6:26" ht="24" customHeight="1" thickBot="1" x14ac:dyDescent="0.3">
      <c r="F6" s="53"/>
      <c r="G6" s="53"/>
      <c r="H6" s="53"/>
      <c r="I6" s="53"/>
      <c r="J6" s="53"/>
      <c r="K6" s="53"/>
      <c r="L6" s="53"/>
      <c r="M6" s="53"/>
      <c r="N6" s="53"/>
      <c r="O6" s="53"/>
      <c r="P6" s="53"/>
      <c r="Q6" s="53"/>
      <c r="R6" s="53"/>
      <c r="S6" s="53"/>
      <c r="T6" s="53"/>
      <c r="U6" s="53"/>
      <c r="V6" s="53"/>
    </row>
    <row r="7" spans="6:26" ht="24" customHeight="1" thickBot="1" x14ac:dyDescent="0.3">
      <c r="F7" s="53"/>
      <c r="G7" s="98" t="s">
        <v>300</v>
      </c>
      <c r="H7" s="99" t="s">
        <v>128</v>
      </c>
      <c r="I7" s="100" t="s">
        <v>76</v>
      </c>
      <c r="J7" s="99" t="s">
        <v>133</v>
      </c>
      <c r="K7" s="101" t="s">
        <v>134</v>
      </c>
      <c r="L7" s="102" t="s">
        <v>137</v>
      </c>
      <c r="M7" s="101" t="s">
        <v>127</v>
      </c>
      <c r="N7" s="101" t="s">
        <v>289</v>
      </c>
      <c r="O7" s="101" t="s">
        <v>126</v>
      </c>
      <c r="P7" s="101" t="s">
        <v>105</v>
      </c>
      <c r="Q7" s="101" t="s">
        <v>106</v>
      </c>
      <c r="R7" s="101" t="s">
        <v>132</v>
      </c>
      <c r="S7" s="101" t="s">
        <v>297</v>
      </c>
      <c r="T7" s="101" t="s">
        <v>298</v>
      </c>
      <c r="U7" s="100" t="s">
        <v>299</v>
      </c>
      <c r="V7" s="53"/>
      <c r="Y7" s="60" t="s">
        <v>302</v>
      </c>
    </row>
    <row r="8" spans="6:26" ht="24" customHeight="1" x14ac:dyDescent="0.25">
      <c r="F8" s="53"/>
      <c r="G8" s="106" t="s">
        <v>301</v>
      </c>
      <c r="H8" s="112">
        <v>1.0771095752716</v>
      </c>
      <c r="I8" s="113">
        <v>2.3138888888888891</v>
      </c>
      <c r="J8" s="125" t="s">
        <v>286</v>
      </c>
      <c r="K8" s="126" t="s">
        <v>286</v>
      </c>
      <c r="L8" s="107" t="s">
        <v>286</v>
      </c>
      <c r="M8" s="108">
        <v>1</v>
      </c>
      <c r="N8" s="109">
        <v>768</v>
      </c>
      <c r="O8" s="97">
        <f>768/M8</f>
        <v>768</v>
      </c>
      <c r="P8" s="103">
        <v>16</v>
      </c>
      <c r="Q8" s="103">
        <v>2</v>
      </c>
      <c r="R8" s="104">
        <f>COMBIN(P8,Q8)</f>
        <v>120</v>
      </c>
      <c r="S8" s="103" t="s">
        <v>13</v>
      </c>
      <c r="T8" s="103" t="s">
        <v>10</v>
      </c>
      <c r="U8" s="105" t="s">
        <v>286</v>
      </c>
      <c r="V8" s="53"/>
      <c r="Y8" s="96">
        <v>24576000</v>
      </c>
      <c r="Z8" s="54" t="s">
        <v>141</v>
      </c>
    </row>
    <row r="9" spans="6:26" ht="24" customHeight="1" x14ac:dyDescent="0.25">
      <c r="F9" s="53"/>
      <c r="G9" s="55" t="s">
        <v>120</v>
      </c>
      <c r="H9" s="56">
        <v>1.09865474700927</v>
      </c>
      <c r="I9" s="57">
        <v>2.1555555555555554</v>
      </c>
      <c r="J9" s="58">
        <f>I9-$I$8</f>
        <v>-0.15833333333333366</v>
      </c>
      <c r="K9" s="128">
        <f>H9-$H$8</f>
        <v>2.154517173767001E-2</v>
      </c>
      <c r="L9" s="59">
        <f>J9/K9</f>
        <v>-7.3489009631100082</v>
      </c>
      <c r="M9" s="54">
        <v>2</v>
      </c>
      <c r="N9" s="60" t="s">
        <v>288</v>
      </c>
      <c r="O9" s="54">
        <f t="shared" ref="O9:O12" si="0">768/M9</f>
        <v>384</v>
      </c>
      <c r="P9" s="60" t="s">
        <v>288</v>
      </c>
      <c r="Q9" s="60" t="s">
        <v>288</v>
      </c>
      <c r="R9" s="60" t="s">
        <v>288</v>
      </c>
      <c r="S9" s="60" t="s">
        <v>129</v>
      </c>
      <c r="T9" s="60" t="s">
        <v>260</v>
      </c>
      <c r="U9" s="61" t="s">
        <v>283</v>
      </c>
      <c r="V9" s="53"/>
      <c r="Y9" s="96">
        <v>24576000</v>
      </c>
      <c r="Z9" s="54" t="s">
        <v>230</v>
      </c>
    </row>
    <row r="10" spans="6:26" ht="24" customHeight="1" x14ac:dyDescent="0.25">
      <c r="F10" s="53"/>
      <c r="G10" s="55" t="s">
        <v>123</v>
      </c>
      <c r="H10" s="114">
        <v>1.1055035591125399</v>
      </c>
      <c r="I10" s="115">
        <v>2.0877777777777777</v>
      </c>
      <c r="J10" s="58">
        <f t="shared" ref="J10:J17" si="1">I10-$I$8</f>
        <v>-0.22611111111111137</v>
      </c>
      <c r="K10" s="128">
        <f>H10-$H$8</f>
        <v>2.839398384093994E-2</v>
      </c>
      <c r="L10" s="62">
        <f t="shared" ref="L10:L17" si="2">J10/K10</f>
        <v>-7.9633457699265318</v>
      </c>
      <c r="M10" s="63">
        <v>3</v>
      </c>
      <c r="N10" s="60" t="s">
        <v>288</v>
      </c>
      <c r="O10" s="54">
        <f t="shared" si="0"/>
        <v>256</v>
      </c>
      <c r="P10" s="60" t="s">
        <v>288</v>
      </c>
      <c r="Q10" s="60" t="s">
        <v>288</v>
      </c>
      <c r="R10" s="60" t="s">
        <v>288</v>
      </c>
      <c r="S10" s="60" t="s">
        <v>135</v>
      </c>
      <c r="T10" s="60" t="s">
        <v>270</v>
      </c>
      <c r="U10" s="61" t="s">
        <v>284</v>
      </c>
      <c r="V10" s="53"/>
      <c r="Y10" s="96">
        <f>Y8+Y9</f>
        <v>49152000</v>
      </c>
    </row>
    <row r="11" spans="6:26" ht="24" customHeight="1" x14ac:dyDescent="0.25">
      <c r="F11" s="53"/>
      <c r="G11" s="55" t="s">
        <v>124</v>
      </c>
      <c r="H11" s="56">
        <v>1.1180125474929801</v>
      </c>
      <c r="I11" s="57">
        <v>2.0686111111111112</v>
      </c>
      <c r="J11" s="58">
        <f t="shared" si="1"/>
        <v>-0.24527777777777793</v>
      </c>
      <c r="K11" s="128">
        <f>H11-$H$8</f>
        <v>4.0902972221380063E-2</v>
      </c>
      <c r="L11" s="59">
        <f t="shared" si="2"/>
        <v>-5.996575907742244</v>
      </c>
      <c r="M11" s="54">
        <v>4</v>
      </c>
      <c r="N11" s="60" t="s">
        <v>288</v>
      </c>
      <c r="O11" s="54">
        <f t="shared" si="0"/>
        <v>192</v>
      </c>
      <c r="P11" s="60" t="s">
        <v>288</v>
      </c>
      <c r="Q11" s="60" t="s">
        <v>288</v>
      </c>
      <c r="R11" s="60" t="s">
        <v>288</v>
      </c>
      <c r="S11" s="60" t="s">
        <v>130</v>
      </c>
      <c r="T11" s="60" t="s">
        <v>276</v>
      </c>
      <c r="U11" s="61" t="s">
        <v>287</v>
      </c>
      <c r="V11" s="53"/>
    </row>
    <row r="12" spans="6:26" ht="24" customHeight="1" thickBot="1" x14ac:dyDescent="0.3">
      <c r="F12" s="53"/>
      <c r="G12" s="64" t="s">
        <v>125</v>
      </c>
      <c r="H12" s="65">
        <v>1.13589096069335</v>
      </c>
      <c r="I12" s="66">
        <v>1.9888888888888889</v>
      </c>
      <c r="J12" s="67">
        <f t="shared" si="1"/>
        <v>-0.32500000000000018</v>
      </c>
      <c r="K12" s="68">
        <f>H12-$H$8</f>
        <v>5.8781385421750043E-2</v>
      </c>
      <c r="L12" s="69">
        <f t="shared" si="2"/>
        <v>-5.5289612122640621</v>
      </c>
      <c r="M12" s="70">
        <v>6</v>
      </c>
      <c r="N12" s="71" t="s">
        <v>288</v>
      </c>
      <c r="O12" s="70">
        <f t="shared" si="0"/>
        <v>128</v>
      </c>
      <c r="P12" s="71" t="s">
        <v>288</v>
      </c>
      <c r="Q12" s="71" t="s">
        <v>288</v>
      </c>
      <c r="R12" s="71" t="s">
        <v>288</v>
      </c>
      <c r="S12" s="71" t="s">
        <v>131</v>
      </c>
      <c r="T12" s="71" t="s">
        <v>282</v>
      </c>
      <c r="U12" s="72" t="s">
        <v>285</v>
      </c>
      <c r="V12" s="53"/>
    </row>
    <row r="13" spans="6:26" ht="24" customHeight="1" thickBot="1" x14ac:dyDescent="0.3">
      <c r="F13" s="53"/>
      <c r="G13" s="53"/>
      <c r="H13" s="73"/>
      <c r="I13" s="53"/>
      <c r="J13" s="129"/>
      <c r="K13" s="73"/>
      <c r="L13" s="74"/>
      <c r="M13" s="53"/>
      <c r="N13" s="53"/>
      <c r="O13" s="53"/>
      <c r="P13" s="53"/>
      <c r="Q13" s="53"/>
      <c r="R13" s="53"/>
      <c r="S13" s="53"/>
      <c r="T13" s="53"/>
      <c r="U13" s="53"/>
      <c r="V13" s="53"/>
    </row>
    <row r="14" spans="6:26" ht="24" customHeight="1" x14ac:dyDescent="0.25">
      <c r="F14" s="53"/>
      <c r="G14" s="75" t="s">
        <v>122</v>
      </c>
      <c r="H14" s="110">
        <v>1.0823740959167401</v>
      </c>
      <c r="I14" s="111">
        <v>2.2319444444444443</v>
      </c>
      <c r="J14" s="127">
        <f t="shared" si="1"/>
        <v>-8.1944444444444819E-2</v>
      </c>
      <c r="K14" s="131">
        <f>H14-$H$8</f>
        <v>5.2645206451400473E-3</v>
      </c>
      <c r="L14" s="76">
        <f t="shared" si="2"/>
        <v>-15.565414207291978</v>
      </c>
      <c r="M14" s="77">
        <v>3</v>
      </c>
      <c r="N14" s="78" t="s">
        <v>288</v>
      </c>
      <c r="O14" s="77">
        <f>768/M14</f>
        <v>256</v>
      </c>
      <c r="P14" s="79">
        <v>48</v>
      </c>
      <c r="Q14" s="78">
        <v>2</v>
      </c>
      <c r="R14" s="116">
        <f t="shared" ref="R14:R15" si="3">COMBIN(P14,Q14)</f>
        <v>1128</v>
      </c>
      <c r="S14" s="78" t="s">
        <v>13</v>
      </c>
      <c r="T14" s="78" t="s">
        <v>294</v>
      </c>
      <c r="U14" s="80" t="s">
        <v>284</v>
      </c>
      <c r="V14" s="53"/>
    </row>
    <row r="15" spans="6:26" ht="24" customHeight="1" thickBot="1" x14ac:dyDescent="0.3">
      <c r="F15" s="53"/>
      <c r="G15" s="81" t="s">
        <v>121</v>
      </c>
      <c r="H15" s="68">
        <v>1.0733505487442001</v>
      </c>
      <c r="I15" s="82">
        <v>2.6533333333333333</v>
      </c>
      <c r="J15" s="133">
        <f t="shared" si="1"/>
        <v>0.33944444444444422</v>
      </c>
      <c r="K15" s="83">
        <f>H15-$H$8</f>
        <v>-3.7590265273999002E-3</v>
      </c>
      <c r="L15" s="84">
        <f t="shared" si="2"/>
        <v>-90.301156953855354</v>
      </c>
      <c r="M15" s="70">
        <v>3</v>
      </c>
      <c r="N15" s="71" t="s">
        <v>288</v>
      </c>
      <c r="O15" s="70">
        <f>768/M15</f>
        <v>256</v>
      </c>
      <c r="P15" s="70">
        <v>48</v>
      </c>
      <c r="Q15" s="85">
        <v>6</v>
      </c>
      <c r="R15" s="117">
        <f t="shared" si="3"/>
        <v>12271511.999999998</v>
      </c>
      <c r="S15" s="71" t="s">
        <v>13</v>
      </c>
      <c r="T15" s="71" t="s">
        <v>261</v>
      </c>
      <c r="U15" s="72" t="s">
        <v>284</v>
      </c>
      <c r="V15" s="53"/>
    </row>
    <row r="16" spans="6:26" ht="24" customHeight="1" thickBot="1" x14ac:dyDescent="0.3">
      <c r="F16" s="53"/>
      <c r="G16" s="53"/>
      <c r="H16" s="73"/>
      <c r="I16" s="53"/>
      <c r="J16" s="130"/>
      <c r="K16" s="73"/>
      <c r="L16" s="74"/>
      <c r="M16" s="53"/>
      <c r="N16" s="53"/>
      <c r="O16" s="53"/>
      <c r="P16" s="53"/>
      <c r="Q16" s="53"/>
      <c r="R16" s="86"/>
      <c r="S16" s="53"/>
      <c r="T16" s="53"/>
      <c r="U16" s="53"/>
      <c r="V16" s="53"/>
    </row>
    <row r="17" spans="7:21" ht="24" customHeight="1" thickBot="1" x14ac:dyDescent="0.3">
      <c r="G17" s="87" t="s">
        <v>136</v>
      </c>
      <c r="H17" s="88">
        <v>1.09975445270538</v>
      </c>
      <c r="I17" s="89">
        <v>2.4905555555555554</v>
      </c>
      <c r="J17" s="132">
        <f t="shared" si="1"/>
        <v>0.17666666666666631</v>
      </c>
      <c r="K17" s="90">
        <f>H17-$H$8</f>
        <v>2.2644877433779964E-2</v>
      </c>
      <c r="L17" s="91">
        <f t="shared" si="2"/>
        <v>7.8016172612675732</v>
      </c>
      <c r="M17" s="118">
        <v>3</v>
      </c>
      <c r="N17" s="93" t="s">
        <v>288</v>
      </c>
      <c r="O17" s="92">
        <f>768/M17</f>
        <v>256</v>
      </c>
      <c r="P17" s="92">
        <v>16</v>
      </c>
      <c r="Q17" s="92">
        <v>6</v>
      </c>
      <c r="R17" s="94">
        <f>COMBIN(P17,Q17)</f>
        <v>8008</v>
      </c>
      <c r="S17" s="93" t="s">
        <v>135</v>
      </c>
      <c r="T17" s="93" t="s">
        <v>296</v>
      </c>
      <c r="U17" s="95" t="s">
        <v>284</v>
      </c>
    </row>
    <row r="1048564" spans="13:17" ht="24" customHeight="1" x14ac:dyDescent="0.25">
      <c r="M1048564" s="54">
        <f>SUM(M8:M1048563)</f>
        <v>25</v>
      </c>
      <c r="N1048564" s="54">
        <f>SUM(N8:N1048563)</f>
        <v>768</v>
      </c>
      <c r="O1048564" s="54">
        <f>SUM(O8:O1048563)</f>
        <v>2496</v>
      </c>
      <c r="P1048564" s="54">
        <f>SUM(P8:P1048563)</f>
        <v>128</v>
      </c>
      <c r="Q1048564" s="54">
        <f>SUM(Q8:Q1048563)</f>
        <v>16</v>
      </c>
    </row>
  </sheetData>
  <conditionalFormatting sqref="O8:O12">
    <cfRule type="colorScale" priority="2">
      <colorScale>
        <cfvo type="min"/>
        <cfvo type="max"/>
        <color rgb="FF63BE7B"/>
        <color rgb="FFFFEF9C"/>
      </colorScale>
    </cfRule>
  </conditionalFormatting>
  <conditionalFormatting sqref="O23:O27">
    <cfRule type="colorScale" priority="1">
      <colorScale>
        <cfvo type="min"/>
        <cfvo type="max"/>
        <color rgb="FF63BE7B"/>
        <color rgb="FFFFEF9C"/>
      </colorScale>
    </cfRule>
  </conditionalFormatting>
  <pageMargins left="0.7" right="0.7" top="0.75" bottom="0.75" header="0.3" footer="0.3"/>
  <pageSetup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0C755-899C-4A2A-A172-0A4FC85146C4}">
  <dimension ref="F3:J92"/>
  <sheetViews>
    <sheetView topLeftCell="A52" workbookViewId="0">
      <selection activeCell="J6" sqref="J6"/>
    </sheetView>
  </sheetViews>
  <sheetFormatPr defaultRowHeight="15" x14ac:dyDescent="0.25"/>
  <cols>
    <col min="1" max="5" width="9.140625" style="2"/>
    <col min="6" max="6" width="15.42578125" style="2" bestFit="1" customWidth="1"/>
    <col min="7" max="7" width="40" style="44" bestFit="1" customWidth="1"/>
    <col min="8" max="8" width="16.140625" style="2" bestFit="1" customWidth="1"/>
    <col min="9" max="9" width="19" style="2" customWidth="1"/>
    <col min="10" max="10" width="21.42578125" style="2" customWidth="1"/>
    <col min="11" max="16384" width="9.140625" style="2"/>
  </cols>
  <sheetData>
    <row r="3" spans="6:10" x14ac:dyDescent="0.25">
      <c r="I3" t="s">
        <v>256</v>
      </c>
    </row>
    <row r="4" spans="6:10" x14ac:dyDescent="0.25">
      <c r="I4" t="s">
        <v>257</v>
      </c>
    </row>
    <row r="5" spans="6:10" x14ac:dyDescent="0.25">
      <c r="I5" t="s">
        <v>259</v>
      </c>
      <c r="J5" s="2" t="s">
        <v>262</v>
      </c>
    </row>
    <row r="7" spans="6:10" x14ac:dyDescent="0.25">
      <c r="F7" s="43" t="s">
        <v>138</v>
      </c>
      <c r="G7" s="45" t="s">
        <v>139</v>
      </c>
      <c r="H7" s="43" t="s">
        <v>140</v>
      </c>
      <c r="I7" s="2" t="s">
        <v>234</v>
      </c>
      <c r="J7" s="2" t="s">
        <v>235</v>
      </c>
    </row>
    <row r="8" spans="6:10" x14ac:dyDescent="0.25">
      <c r="F8" s="43">
        <v>24576000</v>
      </c>
      <c r="G8" s="45" t="s">
        <v>141</v>
      </c>
      <c r="H8" s="43" t="s">
        <v>142</v>
      </c>
      <c r="I8" s="2">
        <v>1</v>
      </c>
      <c r="J8" s="2">
        <f>Table2[[#This Row],[Activated ratio]]*Table2[[#This Row],['# Count]]</f>
        <v>24576000</v>
      </c>
    </row>
    <row r="9" spans="6:10" x14ac:dyDescent="0.25">
      <c r="F9" s="43">
        <v>768</v>
      </c>
      <c r="G9" s="45" t="s">
        <v>143</v>
      </c>
      <c r="H9" s="43" t="s">
        <v>144</v>
      </c>
      <c r="I9" s="2">
        <v>1</v>
      </c>
      <c r="J9" s="2">
        <f>Table2[[#This Row],[Activated ratio]]*Table2[[#This Row],['# Count]]</f>
        <v>768</v>
      </c>
    </row>
    <row r="10" spans="6:10" x14ac:dyDescent="0.25">
      <c r="F10" s="43">
        <v>1572864</v>
      </c>
      <c r="G10" s="45" t="s">
        <v>145</v>
      </c>
      <c r="H10" s="43" t="s">
        <v>146</v>
      </c>
      <c r="I10" s="2">
        <v>1</v>
      </c>
      <c r="J10" s="2">
        <f>Table2[[#This Row],[Activated ratio]]*Table2[[#This Row],['# Count]]</f>
        <v>1572864</v>
      </c>
    </row>
    <row r="11" spans="6:10" x14ac:dyDescent="0.25">
      <c r="F11" s="43">
        <v>1572864</v>
      </c>
      <c r="G11" s="45" t="s">
        <v>147</v>
      </c>
      <c r="H11" s="43" t="s">
        <v>146</v>
      </c>
      <c r="I11" s="2">
        <v>1</v>
      </c>
      <c r="J11" s="2">
        <f>Table2[[#This Row],[Activated ratio]]*Table2[[#This Row],['# Count]]</f>
        <v>1572864</v>
      </c>
    </row>
    <row r="12" spans="6:10" x14ac:dyDescent="0.25">
      <c r="F12" s="43">
        <v>1572864</v>
      </c>
      <c r="G12" s="45" t="s">
        <v>148</v>
      </c>
      <c r="H12" s="43" t="s">
        <v>146</v>
      </c>
      <c r="I12" s="2">
        <v>1</v>
      </c>
      <c r="J12" s="2">
        <f>Table2[[#This Row],[Activated ratio]]*Table2[[#This Row],['# Count]]</f>
        <v>1572864</v>
      </c>
    </row>
    <row r="13" spans="6:10" x14ac:dyDescent="0.25">
      <c r="F13" s="43">
        <v>1572864</v>
      </c>
      <c r="G13" s="45" t="s">
        <v>149</v>
      </c>
      <c r="H13" s="43" t="s">
        <v>150</v>
      </c>
      <c r="I13" s="2">
        <v>1</v>
      </c>
      <c r="J13" s="2">
        <f>Table2[[#This Row],[Activated ratio]]*Table2[[#This Row],['# Count]]</f>
        <v>1572864</v>
      </c>
    </row>
    <row r="14" spans="6:10" x14ac:dyDescent="0.25">
      <c r="F14" s="43">
        <v>768</v>
      </c>
      <c r="G14" s="45" t="s">
        <v>151</v>
      </c>
      <c r="H14" s="43" t="s">
        <v>144</v>
      </c>
      <c r="I14" s="2">
        <v>1</v>
      </c>
      <c r="J14" s="2">
        <f>Table2[[#This Row],[Activated ratio]]*Table2[[#This Row],['# Count]]</f>
        <v>768</v>
      </c>
    </row>
    <row r="15" spans="6:10" x14ac:dyDescent="0.25">
      <c r="F15" s="43">
        <v>12288</v>
      </c>
      <c r="G15" s="45" t="s">
        <v>152</v>
      </c>
      <c r="H15" s="43" t="s">
        <v>153</v>
      </c>
      <c r="I15" s="2">
        <v>1</v>
      </c>
      <c r="J15" s="2">
        <f>Table2[[#This Row],[Activated ratio]]*Table2[[#This Row],['# Count]]</f>
        <v>12288</v>
      </c>
    </row>
    <row r="16" spans="6:10" x14ac:dyDescent="0.25">
      <c r="F16" s="47">
        <v>12582912</v>
      </c>
      <c r="G16" s="46" t="s">
        <v>154</v>
      </c>
      <c r="H16" s="47" t="s">
        <v>155</v>
      </c>
      <c r="I16" s="48">
        <v>0.125</v>
      </c>
      <c r="J16" s="48">
        <f>Table2[[#This Row],[Activated ratio]]*Table2[[#This Row],['# Count]]</f>
        <v>1572864</v>
      </c>
    </row>
    <row r="17" spans="6:10" x14ac:dyDescent="0.25">
      <c r="F17" s="47">
        <v>12582912</v>
      </c>
      <c r="G17" s="46" t="s">
        <v>156</v>
      </c>
      <c r="H17" s="47" t="s">
        <v>155</v>
      </c>
      <c r="I17" s="48">
        <v>0.125</v>
      </c>
      <c r="J17" s="48">
        <f>Table2[[#This Row],[Activated ratio]]*Table2[[#This Row],['# Count]]</f>
        <v>1572864</v>
      </c>
    </row>
    <row r="18" spans="6:10" x14ac:dyDescent="0.25">
      <c r="F18" s="47">
        <v>12582912</v>
      </c>
      <c r="G18" s="46" t="s">
        <v>157</v>
      </c>
      <c r="H18" s="47" t="s">
        <v>158</v>
      </c>
      <c r="I18" s="48">
        <v>0.125</v>
      </c>
      <c r="J18" s="48">
        <f>Table2[[#This Row],[Activated ratio]]*Table2[[#This Row],['# Count]]</f>
        <v>1572864</v>
      </c>
    </row>
    <row r="19" spans="6:10" x14ac:dyDescent="0.25">
      <c r="F19" s="43">
        <v>768</v>
      </c>
      <c r="G19" s="45" t="s">
        <v>159</v>
      </c>
      <c r="H19" s="43" t="s">
        <v>144</v>
      </c>
      <c r="I19" s="2">
        <v>1</v>
      </c>
      <c r="J19" s="2">
        <f>Table2[[#This Row],[Activated ratio]]*Table2[[#This Row],['# Count]]</f>
        <v>768</v>
      </c>
    </row>
    <row r="20" spans="6:10" x14ac:dyDescent="0.25">
      <c r="F20" s="43">
        <v>1572864</v>
      </c>
      <c r="G20" s="45" t="s">
        <v>160</v>
      </c>
      <c r="H20" s="43" t="s">
        <v>146</v>
      </c>
      <c r="I20" s="2">
        <v>1</v>
      </c>
      <c r="J20" s="2">
        <f>Table2[[#This Row],[Activated ratio]]*Table2[[#This Row],['# Count]]</f>
        <v>1572864</v>
      </c>
    </row>
    <row r="21" spans="6:10" x14ac:dyDescent="0.25">
      <c r="F21" s="43">
        <v>1572864</v>
      </c>
      <c r="G21" s="45" t="s">
        <v>161</v>
      </c>
      <c r="H21" s="43" t="s">
        <v>146</v>
      </c>
      <c r="I21" s="2">
        <v>1</v>
      </c>
      <c r="J21" s="2">
        <f>Table2[[#This Row],[Activated ratio]]*Table2[[#This Row],['# Count]]</f>
        <v>1572864</v>
      </c>
    </row>
    <row r="22" spans="6:10" x14ac:dyDescent="0.25">
      <c r="F22" s="43">
        <v>1572864</v>
      </c>
      <c r="G22" s="45" t="s">
        <v>162</v>
      </c>
      <c r="H22" s="43" t="s">
        <v>146</v>
      </c>
      <c r="I22" s="2">
        <v>1</v>
      </c>
      <c r="J22" s="2">
        <f>Table2[[#This Row],[Activated ratio]]*Table2[[#This Row],['# Count]]</f>
        <v>1572864</v>
      </c>
    </row>
    <row r="23" spans="6:10" x14ac:dyDescent="0.25">
      <c r="F23" s="43">
        <v>1572864</v>
      </c>
      <c r="G23" s="45" t="s">
        <v>163</v>
      </c>
      <c r="H23" s="43" t="s">
        <v>150</v>
      </c>
      <c r="I23" s="2">
        <v>1</v>
      </c>
      <c r="J23" s="2">
        <f>Table2[[#This Row],[Activated ratio]]*Table2[[#This Row],['# Count]]</f>
        <v>1572864</v>
      </c>
    </row>
    <row r="24" spans="6:10" x14ac:dyDescent="0.25">
      <c r="F24" s="43">
        <v>768</v>
      </c>
      <c r="G24" s="45" t="s">
        <v>164</v>
      </c>
      <c r="H24" s="43" t="s">
        <v>144</v>
      </c>
      <c r="I24" s="2">
        <v>1</v>
      </c>
      <c r="J24" s="2">
        <f>Table2[[#This Row],[Activated ratio]]*Table2[[#This Row],['# Count]]</f>
        <v>768</v>
      </c>
    </row>
    <row r="25" spans="6:10" x14ac:dyDescent="0.25">
      <c r="F25" s="43">
        <v>12288</v>
      </c>
      <c r="G25" s="45" t="s">
        <v>165</v>
      </c>
      <c r="H25" s="43" t="s">
        <v>153</v>
      </c>
      <c r="I25" s="2">
        <v>1</v>
      </c>
      <c r="J25" s="2">
        <f>Table2[[#This Row],[Activated ratio]]*Table2[[#This Row],['# Count]]</f>
        <v>12288</v>
      </c>
    </row>
    <row r="26" spans="6:10" x14ac:dyDescent="0.25">
      <c r="F26" s="47">
        <v>12582912</v>
      </c>
      <c r="G26" s="46" t="s">
        <v>166</v>
      </c>
      <c r="H26" s="47" t="s">
        <v>155</v>
      </c>
      <c r="I26" s="48">
        <v>0.125</v>
      </c>
      <c r="J26" s="48">
        <f>Table2[[#This Row],[Activated ratio]]*Table2[[#This Row],['# Count]]</f>
        <v>1572864</v>
      </c>
    </row>
    <row r="27" spans="6:10" x14ac:dyDescent="0.25">
      <c r="F27" s="47">
        <v>12582912</v>
      </c>
      <c r="G27" s="46" t="s">
        <v>167</v>
      </c>
      <c r="H27" s="47" t="s">
        <v>155</v>
      </c>
      <c r="I27" s="48">
        <v>0.125</v>
      </c>
      <c r="J27" s="48">
        <f>Table2[[#This Row],[Activated ratio]]*Table2[[#This Row],['# Count]]</f>
        <v>1572864</v>
      </c>
    </row>
    <row r="28" spans="6:10" x14ac:dyDescent="0.25">
      <c r="F28" s="47">
        <v>12582912</v>
      </c>
      <c r="G28" s="46" t="s">
        <v>168</v>
      </c>
      <c r="H28" s="47" t="s">
        <v>158</v>
      </c>
      <c r="I28" s="48">
        <v>0.125</v>
      </c>
      <c r="J28" s="48">
        <f>Table2[[#This Row],[Activated ratio]]*Table2[[#This Row],['# Count]]</f>
        <v>1572864</v>
      </c>
    </row>
    <row r="29" spans="6:10" x14ac:dyDescent="0.25">
      <c r="F29" s="43">
        <v>768</v>
      </c>
      <c r="G29" s="45" t="s">
        <v>169</v>
      </c>
      <c r="H29" s="43" t="s">
        <v>144</v>
      </c>
      <c r="I29" s="2">
        <v>1</v>
      </c>
      <c r="J29" s="2">
        <f>Table2[[#This Row],[Activated ratio]]*Table2[[#This Row],['# Count]]</f>
        <v>768</v>
      </c>
    </row>
    <row r="30" spans="6:10" x14ac:dyDescent="0.25">
      <c r="F30" s="43">
        <v>1572864</v>
      </c>
      <c r="G30" s="45" t="s">
        <v>170</v>
      </c>
      <c r="H30" s="43" t="s">
        <v>146</v>
      </c>
      <c r="I30" s="2">
        <v>1</v>
      </c>
      <c r="J30" s="2">
        <f>Table2[[#This Row],[Activated ratio]]*Table2[[#This Row],['# Count]]</f>
        <v>1572864</v>
      </c>
    </row>
    <row r="31" spans="6:10" x14ac:dyDescent="0.25">
      <c r="F31" s="43">
        <v>1572864</v>
      </c>
      <c r="G31" s="45" t="s">
        <v>171</v>
      </c>
      <c r="H31" s="43" t="s">
        <v>146</v>
      </c>
      <c r="I31" s="2">
        <v>1</v>
      </c>
      <c r="J31" s="2">
        <f>Table2[[#This Row],[Activated ratio]]*Table2[[#This Row],['# Count]]</f>
        <v>1572864</v>
      </c>
    </row>
    <row r="32" spans="6:10" x14ac:dyDescent="0.25">
      <c r="F32" s="43">
        <v>1572864</v>
      </c>
      <c r="G32" s="45" t="s">
        <v>172</v>
      </c>
      <c r="H32" s="43" t="s">
        <v>146</v>
      </c>
      <c r="I32" s="2">
        <v>1</v>
      </c>
      <c r="J32" s="2">
        <f>Table2[[#This Row],[Activated ratio]]*Table2[[#This Row],['# Count]]</f>
        <v>1572864</v>
      </c>
    </row>
    <row r="33" spans="6:10" x14ac:dyDescent="0.25">
      <c r="F33" s="43">
        <v>1572864</v>
      </c>
      <c r="G33" s="45" t="s">
        <v>173</v>
      </c>
      <c r="H33" s="43" t="s">
        <v>150</v>
      </c>
      <c r="I33" s="2">
        <v>1</v>
      </c>
      <c r="J33" s="2">
        <f>Table2[[#This Row],[Activated ratio]]*Table2[[#This Row],['# Count]]</f>
        <v>1572864</v>
      </c>
    </row>
    <row r="34" spans="6:10" x14ac:dyDescent="0.25">
      <c r="F34" s="43">
        <v>768</v>
      </c>
      <c r="G34" s="45" t="s">
        <v>174</v>
      </c>
      <c r="H34" s="43" t="s">
        <v>144</v>
      </c>
      <c r="I34" s="2">
        <v>1</v>
      </c>
      <c r="J34" s="2">
        <f>Table2[[#This Row],[Activated ratio]]*Table2[[#This Row],['# Count]]</f>
        <v>768</v>
      </c>
    </row>
    <row r="35" spans="6:10" x14ac:dyDescent="0.25">
      <c r="F35" s="43">
        <v>12288</v>
      </c>
      <c r="G35" s="45" t="s">
        <v>175</v>
      </c>
      <c r="H35" s="43" t="s">
        <v>153</v>
      </c>
      <c r="I35" s="2">
        <v>1</v>
      </c>
      <c r="J35" s="2">
        <f>Table2[[#This Row],[Activated ratio]]*Table2[[#This Row],['# Count]]</f>
        <v>12288</v>
      </c>
    </row>
    <row r="36" spans="6:10" x14ac:dyDescent="0.25">
      <c r="F36" s="47">
        <v>12582912</v>
      </c>
      <c r="G36" s="46" t="s">
        <v>176</v>
      </c>
      <c r="H36" s="47" t="s">
        <v>155</v>
      </c>
      <c r="I36" s="48">
        <v>0.125</v>
      </c>
      <c r="J36" s="48">
        <f>Table2[[#This Row],[Activated ratio]]*Table2[[#This Row],['# Count]]</f>
        <v>1572864</v>
      </c>
    </row>
    <row r="37" spans="6:10" x14ac:dyDescent="0.25">
      <c r="F37" s="47">
        <v>12582912</v>
      </c>
      <c r="G37" s="46" t="s">
        <v>177</v>
      </c>
      <c r="H37" s="47" t="s">
        <v>155</v>
      </c>
      <c r="I37" s="48">
        <v>0.125</v>
      </c>
      <c r="J37" s="48">
        <f>Table2[[#This Row],[Activated ratio]]*Table2[[#This Row],['# Count]]</f>
        <v>1572864</v>
      </c>
    </row>
    <row r="38" spans="6:10" x14ac:dyDescent="0.25">
      <c r="F38" s="47">
        <v>12582912</v>
      </c>
      <c r="G38" s="46" t="s">
        <v>178</v>
      </c>
      <c r="H38" s="47" t="s">
        <v>158</v>
      </c>
      <c r="I38" s="48">
        <v>0.125</v>
      </c>
      <c r="J38" s="48">
        <f>Table2[[#This Row],[Activated ratio]]*Table2[[#This Row],['# Count]]</f>
        <v>1572864</v>
      </c>
    </row>
    <row r="39" spans="6:10" x14ac:dyDescent="0.25">
      <c r="F39" s="43">
        <v>768</v>
      </c>
      <c r="G39" s="45" t="s">
        <v>179</v>
      </c>
      <c r="H39" s="43" t="s">
        <v>144</v>
      </c>
      <c r="I39" s="2">
        <v>1</v>
      </c>
      <c r="J39" s="2">
        <f>Table2[[#This Row],[Activated ratio]]*Table2[[#This Row],['# Count]]</f>
        <v>768</v>
      </c>
    </row>
    <row r="40" spans="6:10" x14ac:dyDescent="0.25">
      <c r="F40" s="43">
        <v>1572864</v>
      </c>
      <c r="G40" s="45" t="s">
        <v>180</v>
      </c>
      <c r="H40" s="43" t="s">
        <v>146</v>
      </c>
      <c r="I40" s="2">
        <v>1</v>
      </c>
      <c r="J40" s="2">
        <f>Table2[[#This Row],[Activated ratio]]*Table2[[#This Row],['# Count]]</f>
        <v>1572864</v>
      </c>
    </row>
    <row r="41" spans="6:10" x14ac:dyDescent="0.25">
      <c r="F41" s="43">
        <v>1572864</v>
      </c>
      <c r="G41" s="45" t="s">
        <v>181</v>
      </c>
      <c r="H41" s="43" t="s">
        <v>146</v>
      </c>
      <c r="I41" s="2">
        <v>1</v>
      </c>
      <c r="J41" s="2">
        <f>Table2[[#This Row],[Activated ratio]]*Table2[[#This Row],['# Count]]</f>
        <v>1572864</v>
      </c>
    </row>
    <row r="42" spans="6:10" x14ac:dyDescent="0.25">
      <c r="F42" s="43">
        <v>1572864</v>
      </c>
      <c r="G42" s="45" t="s">
        <v>182</v>
      </c>
      <c r="H42" s="43" t="s">
        <v>146</v>
      </c>
      <c r="I42" s="2">
        <v>1</v>
      </c>
      <c r="J42" s="2">
        <f>Table2[[#This Row],[Activated ratio]]*Table2[[#This Row],['# Count]]</f>
        <v>1572864</v>
      </c>
    </row>
    <row r="43" spans="6:10" x14ac:dyDescent="0.25">
      <c r="F43" s="43">
        <v>1572864</v>
      </c>
      <c r="G43" s="45" t="s">
        <v>183</v>
      </c>
      <c r="H43" s="43" t="s">
        <v>150</v>
      </c>
      <c r="I43" s="2">
        <v>1</v>
      </c>
      <c r="J43" s="2">
        <f>Table2[[#This Row],[Activated ratio]]*Table2[[#This Row],['# Count]]</f>
        <v>1572864</v>
      </c>
    </row>
    <row r="44" spans="6:10" x14ac:dyDescent="0.25">
      <c r="F44" s="43">
        <v>768</v>
      </c>
      <c r="G44" s="45" t="s">
        <v>184</v>
      </c>
      <c r="H44" s="43" t="s">
        <v>144</v>
      </c>
      <c r="I44" s="2">
        <v>1</v>
      </c>
      <c r="J44" s="2">
        <f>Table2[[#This Row],[Activated ratio]]*Table2[[#This Row],['# Count]]</f>
        <v>768</v>
      </c>
    </row>
    <row r="45" spans="6:10" x14ac:dyDescent="0.25">
      <c r="F45" s="43">
        <v>12288</v>
      </c>
      <c r="G45" s="45" t="s">
        <v>185</v>
      </c>
      <c r="H45" s="43" t="s">
        <v>153</v>
      </c>
      <c r="I45" s="2">
        <v>1</v>
      </c>
      <c r="J45" s="2">
        <f>Table2[[#This Row],[Activated ratio]]*Table2[[#This Row],['# Count]]</f>
        <v>12288</v>
      </c>
    </row>
    <row r="46" spans="6:10" x14ac:dyDescent="0.25">
      <c r="F46" s="47">
        <v>12582912</v>
      </c>
      <c r="G46" s="46" t="s">
        <v>186</v>
      </c>
      <c r="H46" s="47" t="s">
        <v>155</v>
      </c>
      <c r="I46" s="48">
        <v>0.125</v>
      </c>
      <c r="J46" s="48">
        <f>Table2[[#This Row],[Activated ratio]]*Table2[[#This Row],['# Count]]</f>
        <v>1572864</v>
      </c>
    </row>
    <row r="47" spans="6:10" x14ac:dyDescent="0.25">
      <c r="F47" s="47">
        <v>12582912</v>
      </c>
      <c r="G47" s="46" t="s">
        <v>187</v>
      </c>
      <c r="H47" s="47" t="s">
        <v>155</v>
      </c>
      <c r="I47" s="48">
        <v>0.125</v>
      </c>
      <c r="J47" s="48">
        <f>Table2[[#This Row],[Activated ratio]]*Table2[[#This Row],['# Count]]</f>
        <v>1572864</v>
      </c>
    </row>
    <row r="48" spans="6:10" x14ac:dyDescent="0.25">
      <c r="F48" s="47">
        <v>12582912</v>
      </c>
      <c r="G48" s="46" t="s">
        <v>188</v>
      </c>
      <c r="H48" s="47" t="s">
        <v>158</v>
      </c>
      <c r="I48" s="48">
        <v>0.125</v>
      </c>
      <c r="J48" s="48">
        <f>Table2[[#This Row],[Activated ratio]]*Table2[[#This Row],['# Count]]</f>
        <v>1572864</v>
      </c>
    </row>
    <row r="49" spans="6:10" x14ac:dyDescent="0.25">
      <c r="F49" s="43">
        <v>768</v>
      </c>
      <c r="G49" s="45" t="s">
        <v>189</v>
      </c>
      <c r="H49" s="43" t="s">
        <v>144</v>
      </c>
      <c r="I49" s="2">
        <v>1</v>
      </c>
      <c r="J49" s="2">
        <f>Table2[[#This Row],[Activated ratio]]*Table2[[#This Row],['# Count]]</f>
        <v>768</v>
      </c>
    </row>
    <row r="50" spans="6:10" x14ac:dyDescent="0.25">
      <c r="F50" s="43">
        <v>1572864</v>
      </c>
      <c r="G50" s="45" t="s">
        <v>190</v>
      </c>
      <c r="H50" s="43" t="s">
        <v>146</v>
      </c>
      <c r="I50" s="2">
        <v>1</v>
      </c>
      <c r="J50" s="2">
        <f>Table2[[#This Row],[Activated ratio]]*Table2[[#This Row],['# Count]]</f>
        <v>1572864</v>
      </c>
    </row>
    <row r="51" spans="6:10" x14ac:dyDescent="0.25">
      <c r="F51" s="43">
        <v>1572864</v>
      </c>
      <c r="G51" s="45" t="s">
        <v>191</v>
      </c>
      <c r="H51" s="43" t="s">
        <v>146</v>
      </c>
      <c r="I51" s="2">
        <v>1</v>
      </c>
      <c r="J51" s="2">
        <f>Table2[[#This Row],[Activated ratio]]*Table2[[#This Row],['# Count]]</f>
        <v>1572864</v>
      </c>
    </row>
    <row r="52" spans="6:10" x14ac:dyDescent="0.25">
      <c r="F52" s="43">
        <v>1572864</v>
      </c>
      <c r="G52" s="45" t="s">
        <v>192</v>
      </c>
      <c r="H52" s="43" t="s">
        <v>146</v>
      </c>
      <c r="I52" s="2">
        <v>1</v>
      </c>
      <c r="J52" s="2">
        <f>Table2[[#This Row],[Activated ratio]]*Table2[[#This Row],['# Count]]</f>
        <v>1572864</v>
      </c>
    </row>
    <row r="53" spans="6:10" x14ac:dyDescent="0.25">
      <c r="F53" s="43">
        <v>1572864</v>
      </c>
      <c r="G53" s="45" t="s">
        <v>193</v>
      </c>
      <c r="H53" s="43" t="s">
        <v>150</v>
      </c>
      <c r="I53" s="2">
        <v>1</v>
      </c>
      <c r="J53" s="2">
        <f>Table2[[#This Row],[Activated ratio]]*Table2[[#This Row],['# Count]]</f>
        <v>1572864</v>
      </c>
    </row>
    <row r="54" spans="6:10" x14ac:dyDescent="0.25">
      <c r="F54" s="43">
        <v>768</v>
      </c>
      <c r="G54" s="45" t="s">
        <v>194</v>
      </c>
      <c r="H54" s="43" t="s">
        <v>144</v>
      </c>
      <c r="I54" s="2">
        <v>1</v>
      </c>
      <c r="J54" s="2">
        <f>Table2[[#This Row],[Activated ratio]]*Table2[[#This Row],['# Count]]</f>
        <v>768</v>
      </c>
    </row>
    <row r="55" spans="6:10" x14ac:dyDescent="0.25">
      <c r="F55" s="43">
        <v>12288</v>
      </c>
      <c r="G55" s="45" t="s">
        <v>195</v>
      </c>
      <c r="H55" s="43" t="s">
        <v>153</v>
      </c>
      <c r="I55" s="2">
        <v>1</v>
      </c>
      <c r="J55" s="2">
        <f>Table2[[#This Row],[Activated ratio]]*Table2[[#This Row],['# Count]]</f>
        <v>12288</v>
      </c>
    </row>
    <row r="56" spans="6:10" x14ac:dyDescent="0.25">
      <c r="F56" s="47">
        <v>12582912</v>
      </c>
      <c r="G56" s="46" t="s">
        <v>196</v>
      </c>
      <c r="H56" s="47" t="s">
        <v>155</v>
      </c>
      <c r="I56" s="48">
        <v>0.125</v>
      </c>
      <c r="J56" s="48">
        <f>Table2[[#This Row],[Activated ratio]]*Table2[[#This Row],['# Count]]</f>
        <v>1572864</v>
      </c>
    </row>
    <row r="57" spans="6:10" x14ac:dyDescent="0.25">
      <c r="F57" s="47">
        <v>12582912</v>
      </c>
      <c r="G57" s="46" t="s">
        <v>197</v>
      </c>
      <c r="H57" s="47" t="s">
        <v>155</v>
      </c>
      <c r="I57" s="48">
        <v>0.125</v>
      </c>
      <c r="J57" s="48">
        <f>Table2[[#This Row],[Activated ratio]]*Table2[[#This Row],['# Count]]</f>
        <v>1572864</v>
      </c>
    </row>
    <row r="58" spans="6:10" x14ac:dyDescent="0.25">
      <c r="F58" s="47">
        <v>12582912</v>
      </c>
      <c r="G58" s="46" t="s">
        <v>198</v>
      </c>
      <c r="H58" s="47" t="s">
        <v>158</v>
      </c>
      <c r="I58" s="48">
        <v>0.125</v>
      </c>
      <c r="J58" s="48">
        <f>Table2[[#This Row],[Activated ratio]]*Table2[[#This Row],['# Count]]</f>
        <v>1572864</v>
      </c>
    </row>
    <row r="59" spans="6:10" x14ac:dyDescent="0.25">
      <c r="F59" s="43">
        <v>768</v>
      </c>
      <c r="G59" s="45" t="s">
        <v>199</v>
      </c>
      <c r="H59" s="43" t="s">
        <v>144</v>
      </c>
      <c r="I59" s="2">
        <v>1</v>
      </c>
      <c r="J59" s="2">
        <f>Table2[[#This Row],[Activated ratio]]*Table2[[#This Row],['# Count]]</f>
        <v>768</v>
      </c>
    </row>
    <row r="60" spans="6:10" x14ac:dyDescent="0.25">
      <c r="F60" s="43">
        <v>1572864</v>
      </c>
      <c r="G60" s="45" t="s">
        <v>200</v>
      </c>
      <c r="H60" s="43" t="s">
        <v>146</v>
      </c>
      <c r="I60" s="2">
        <v>1</v>
      </c>
      <c r="J60" s="2">
        <f>Table2[[#This Row],[Activated ratio]]*Table2[[#This Row],['# Count]]</f>
        <v>1572864</v>
      </c>
    </row>
    <row r="61" spans="6:10" x14ac:dyDescent="0.25">
      <c r="F61" s="43">
        <v>1572864</v>
      </c>
      <c r="G61" s="45" t="s">
        <v>201</v>
      </c>
      <c r="H61" s="43" t="s">
        <v>146</v>
      </c>
      <c r="I61" s="2">
        <v>1</v>
      </c>
      <c r="J61" s="2">
        <f>Table2[[#This Row],[Activated ratio]]*Table2[[#This Row],['# Count]]</f>
        <v>1572864</v>
      </c>
    </row>
    <row r="62" spans="6:10" x14ac:dyDescent="0.25">
      <c r="F62" s="43">
        <v>1572864</v>
      </c>
      <c r="G62" s="45" t="s">
        <v>202</v>
      </c>
      <c r="H62" s="43" t="s">
        <v>146</v>
      </c>
      <c r="I62" s="2">
        <v>1</v>
      </c>
      <c r="J62" s="2">
        <f>Table2[[#This Row],[Activated ratio]]*Table2[[#This Row],['# Count]]</f>
        <v>1572864</v>
      </c>
    </row>
    <row r="63" spans="6:10" x14ac:dyDescent="0.25">
      <c r="F63" s="43">
        <v>1572864</v>
      </c>
      <c r="G63" s="45" t="s">
        <v>203</v>
      </c>
      <c r="H63" s="43" t="s">
        <v>150</v>
      </c>
      <c r="I63" s="2">
        <v>1</v>
      </c>
      <c r="J63" s="2">
        <f>Table2[[#This Row],[Activated ratio]]*Table2[[#This Row],['# Count]]</f>
        <v>1572864</v>
      </c>
    </row>
    <row r="64" spans="6:10" x14ac:dyDescent="0.25">
      <c r="F64" s="43">
        <v>768</v>
      </c>
      <c r="G64" s="45" t="s">
        <v>204</v>
      </c>
      <c r="H64" s="43" t="s">
        <v>144</v>
      </c>
      <c r="I64" s="2">
        <v>1</v>
      </c>
      <c r="J64" s="2">
        <f>Table2[[#This Row],[Activated ratio]]*Table2[[#This Row],['# Count]]</f>
        <v>768</v>
      </c>
    </row>
    <row r="65" spans="6:10" x14ac:dyDescent="0.25">
      <c r="F65" s="43">
        <v>12288</v>
      </c>
      <c r="G65" s="45" t="s">
        <v>205</v>
      </c>
      <c r="H65" s="43" t="s">
        <v>153</v>
      </c>
      <c r="I65" s="2">
        <v>1</v>
      </c>
      <c r="J65" s="2">
        <f>Table2[[#This Row],[Activated ratio]]*Table2[[#This Row],['# Count]]</f>
        <v>12288</v>
      </c>
    </row>
    <row r="66" spans="6:10" x14ac:dyDescent="0.25">
      <c r="F66" s="47">
        <v>12582912</v>
      </c>
      <c r="G66" s="46" t="s">
        <v>206</v>
      </c>
      <c r="H66" s="47" t="s">
        <v>155</v>
      </c>
      <c r="I66" s="48">
        <v>0.125</v>
      </c>
      <c r="J66" s="48">
        <f>Table2[[#This Row],[Activated ratio]]*Table2[[#This Row],['# Count]]</f>
        <v>1572864</v>
      </c>
    </row>
    <row r="67" spans="6:10" x14ac:dyDescent="0.25">
      <c r="F67" s="47">
        <v>12582912</v>
      </c>
      <c r="G67" s="46" t="s">
        <v>207</v>
      </c>
      <c r="H67" s="47" t="s">
        <v>155</v>
      </c>
      <c r="I67" s="48">
        <v>0.125</v>
      </c>
      <c r="J67" s="48">
        <f>Table2[[#This Row],[Activated ratio]]*Table2[[#This Row],['# Count]]</f>
        <v>1572864</v>
      </c>
    </row>
    <row r="68" spans="6:10" x14ac:dyDescent="0.25">
      <c r="F68" s="47">
        <v>12582912</v>
      </c>
      <c r="G68" s="46" t="s">
        <v>208</v>
      </c>
      <c r="H68" s="47" t="s">
        <v>158</v>
      </c>
      <c r="I68" s="48">
        <v>0.125</v>
      </c>
      <c r="J68" s="48">
        <f>Table2[[#This Row],[Activated ratio]]*Table2[[#This Row],['# Count]]</f>
        <v>1572864</v>
      </c>
    </row>
    <row r="69" spans="6:10" x14ac:dyDescent="0.25">
      <c r="F69" s="43">
        <v>768</v>
      </c>
      <c r="G69" s="45" t="s">
        <v>209</v>
      </c>
      <c r="H69" s="43" t="s">
        <v>144</v>
      </c>
      <c r="I69" s="2">
        <v>1</v>
      </c>
      <c r="J69" s="2">
        <f>Table2[[#This Row],[Activated ratio]]*Table2[[#This Row],['# Count]]</f>
        <v>768</v>
      </c>
    </row>
    <row r="70" spans="6:10" x14ac:dyDescent="0.25">
      <c r="F70" s="43">
        <v>1572864</v>
      </c>
      <c r="G70" s="45" t="s">
        <v>210</v>
      </c>
      <c r="H70" s="43" t="s">
        <v>146</v>
      </c>
      <c r="I70" s="2">
        <v>1</v>
      </c>
      <c r="J70" s="2">
        <f>Table2[[#This Row],[Activated ratio]]*Table2[[#This Row],['# Count]]</f>
        <v>1572864</v>
      </c>
    </row>
    <row r="71" spans="6:10" x14ac:dyDescent="0.25">
      <c r="F71" s="43">
        <v>1572864</v>
      </c>
      <c r="G71" s="45" t="s">
        <v>211</v>
      </c>
      <c r="H71" s="43" t="s">
        <v>146</v>
      </c>
      <c r="I71" s="2">
        <v>1</v>
      </c>
      <c r="J71" s="2">
        <f>Table2[[#This Row],[Activated ratio]]*Table2[[#This Row],['# Count]]</f>
        <v>1572864</v>
      </c>
    </row>
    <row r="72" spans="6:10" x14ac:dyDescent="0.25">
      <c r="F72" s="43">
        <v>1572864</v>
      </c>
      <c r="G72" s="45" t="s">
        <v>212</v>
      </c>
      <c r="H72" s="43" t="s">
        <v>146</v>
      </c>
      <c r="I72" s="2">
        <v>1</v>
      </c>
      <c r="J72" s="2">
        <f>Table2[[#This Row],[Activated ratio]]*Table2[[#This Row],['# Count]]</f>
        <v>1572864</v>
      </c>
    </row>
    <row r="73" spans="6:10" x14ac:dyDescent="0.25">
      <c r="F73" s="43">
        <v>1572864</v>
      </c>
      <c r="G73" s="45" t="s">
        <v>213</v>
      </c>
      <c r="H73" s="43" t="s">
        <v>150</v>
      </c>
      <c r="I73" s="2">
        <v>1</v>
      </c>
      <c r="J73" s="2">
        <f>Table2[[#This Row],[Activated ratio]]*Table2[[#This Row],['# Count]]</f>
        <v>1572864</v>
      </c>
    </row>
    <row r="74" spans="6:10" x14ac:dyDescent="0.25">
      <c r="F74" s="43">
        <v>768</v>
      </c>
      <c r="G74" s="45" t="s">
        <v>214</v>
      </c>
      <c r="H74" s="43" t="s">
        <v>144</v>
      </c>
      <c r="I74" s="2">
        <v>1</v>
      </c>
      <c r="J74" s="2">
        <f>Table2[[#This Row],[Activated ratio]]*Table2[[#This Row],['# Count]]</f>
        <v>768</v>
      </c>
    </row>
    <row r="75" spans="6:10" x14ac:dyDescent="0.25">
      <c r="F75" s="43">
        <v>12288</v>
      </c>
      <c r="G75" s="45" t="s">
        <v>215</v>
      </c>
      <c r="H75" s="43" t="s">
        <v>153</v>
      </c>
      <c r="I75" s="2">
        <v>1</v>
      </c>
      <c r="J75" s="2">
        <f>Table2[[#This Row],[Activated ratio]]*Table2[[#This Row],['# Count]]</f>
        <v>12288</v>
      </c>
    </row>
    <row r="76" spans="6:10" x14ac:dyDescent="0.25">
      <c r="F76" s="47">
        <v>12582912</v>
      </c>
      <c r="G76" s="46" t="s">
        <v>216</v>
      </c>
      <c r="H76" s="47" t="s">
        <v>155</v>
      </c>
      <c r="I76" s="48">
        <v>0.125</v>
      </c>
      <c r="J76" s="48">
        <f>Table2[[#This Row],[Activated ratio]]*Table2[[#This Row],['# Count]]</f>
        <v>1572864</v>
      </c>
    </row>
    <row r="77" spans="6:10" x14ac:dyDescent="0.25">
      <c r="F77" s="47">
        <v>12582912</v>
      </c>
      <c r="G77" s="46" t="s">
        <v>217</v>
      </c>
      <c r="H77" s="47" t="s">
        <v>155</v>
      </c>
      <c r="I77" s="48">
        <v>0.125</v>
      </c>
      <c r="J77" s="48">
        <f>Table2[[#This Row],[Activated ratio]]*Table2[[#This Row],['# Count]]</f>
        <v>1572864</v>
      </c>
    </row>
    <row r="78" spans="6:10" x14ac:dyDescent="0.25">
      <c r="F78" s="47">
        <v>12582912</v>
      </c>
      <c r="G78" s="46" t="s">
        <v>218</v>
      </c>
      <c r="H78" s="47" t="s">
        <v>158</v>
      </c>
      <c r="I78" s="48">
        <v>0.125</v>
      </c>
      <c r="J78" s="48">
        <f>Table2[[#This Row],[Activated ratio]]*Table2[[#This Row],['# Count]]</f>
        <v>1572864</v>
      </c>
    </row>
    <row r="79" spans="6:10" x14ac:dyDescent="0.25">
      <c r="F79" s="43">
        <v>768</v>
      </c>
      <c r="G79" s="45" t="s">
        <v>219</v>
      </c>
      <c r="H79" s="43" t="s">
        <v>144</v>
      </c>
      <c r="I79" s="2">
        <v>1</v>
      </c>
      <c r="J79" s="2">
        <f>Table2[[#This Row],[Activated ratio]]*Table2[[#This Row],['# Count]]</f>
        <v>768</v>
      </c>
    </row>
    <row r="80" spans="6:10" x14ac:dyDescent="0.25">
      <c r="F80" s="43">
        <v>1572864</v>
      </c>
      <c r="G80" s="45" t="s">
        <v>220</v>
      </c>
      <c r="H80" s="43" t="s">
        <v>146</v>
      </c>
      <c r="I80" s="2">
        <v>1</v>
      </c>
      <c r="J80" s="2">
        <f>Table2[[#This Row],[Activated ratio]]*Table2[[#This Row],['# Count]]</f>
        <v>1572864</v>
      </c>
    </row>
    <row r="81" spans="6:10" x14ac:dyDescent="0.25">
      <c r="F81" s="43">
        <v>1572864</v>
      </c>
      <c r="G81" s="45" t="s">
        <v>221</v>
      </c>
      <c r="H81" s="43" t="s">
        <v>146</v>
      </c>
      <c r="I81" s="2">
        <v>1</v>
      </c>
      <c r="J81" s="2">
        <f>Table2[[#This Row],[Activated ratio]]*Table2[[#This Row],['# Count]]</f>
        <v>1572864</v>
      </c>
    </row>
    <row r="82" spans="6:10" x14ac:dyDescent="0.25">
      <c r="F82" s="43">
        <v>1572864</v>
      </c>
      <c r="G82" s="45" t="s">
        <v>222</v>
      </c>
      <c r="H82" s="43" t="s">
        <v>146</v>
      </c>
      <c r="I82" s="2">
        <v>1</v>
      </c>
      <c r="J82" s="2">
        <f>Table2[[#This Row],[Activated ratio]]*Table2[[#This Row],['# Count]]</f>
        <v>1572864</v>
      </c>
    </row>
    <row r="83" spans="6:10" x14ac:dyDescent="0.25">
      <c r="F83" s="43">
        <v>1572864</v>
      </c>
      <c r="G83" s="45" t="s">
        <v>223</v>
      </c>
      <c r="H83" s="43" t="s">
        <v>150</v>
      </c>
      <c r="I83" s="2">
        <v>1</v>
      </c>
      <c r="J83" s="2">
        <f>Table2[[#This Row],[Activated ratio]]*Table2[[#This Row],['# Count]]</f>
        <v>1572864</v>
      </c>
    </row>
    <row r="84" spans="6:10" x14ac:dyDescent="0.25">
      <c r="F84" s="43">
        <v>768</v>
      </c>
      <c r="G84" s="45" t="s">
        <v>224</v>
      </c>
      <c r="H84" s="43" t="s">
        <v>144</v>
      </c>
      <c r="I84" s="2">
        <v>1</v>
      </c>
      <c r="J84" s="2">
        <f>Table2[[#This Row],[Activated ratio]]*Table2[[#This Row],['# Count]]</f>
        <v>768</v>
      </c>
    </row>
    <row r="85" spans="6:10" x14ac:dyDescent="0.25">
      <c r="F85" s="43">
        <v>12288</v>
      </c>
      <c r="G85" s="45" t="s">
        <v>225</v>
      </c>
      <c r="H85" s="43" t="s">
        <v>153</v>
      </c>
      <c r="I85" s="2">
        <v>1</v>
      </c>
      <c r="J85" s="2">
        <f>Table2[[#This Row],[Activated ratio]]*Table2[[#This Row],['# Count]]</f>
        <v>12288</v>
      </c>
    </row>
    <row r="86" spans="6:10" x14ac:dyDescent="0.25">
      <c r="F86" s="47">
        <v>12582912</v>
      </c>
      <c r="G86" s="46" t="s">
        <v>226</v>
      </c>
      <c r="H86" s="47" t="s">
        <v>155</v>
      </c>
      <c r="I86" s="48">
        <v>0.125</v>
      </c>
      <c r="J86" s="48">
        <f>Table2[[#This Row],[Activated ratio]]*Table2[[#This Row],['# Count]]</f>
        <v>1572864</v>
      </c>
    </row>
    <row r="87" spans="6:10" x14ac:dyDescent="0.25">
      <c r="F87" s="47">
        <v>12582912</v>
      </c>
      <c r="G87" s="46" t="s">
        <v>227</v>
      </c>
      <c r="H87" s="47" t="s">
        <v>155</v>
      </c>
      <c r="I87" s="48">
        <v>0.125</v>
      </c>
      <c r="J87" s="48">
        <f>Table2[[#This Row],[Activated ratio]]*Table2[[#This Row],['# Count]]</f>
        <v>1572864</v>
      </c>
    </row>
    <row r="88" spans="6:10" x14ac:dyDescent="0.25">
      <c r="F88" s="47">
        <v>12582912</v>
      </c>
      <c r="G88" s="46" t="s">
        <v>228</v>
      </c>
      <c r="H88" s="47" t="s">
        <v>158</v>
      </c>
      <c r="I88" s="48">
        <v>0.125</v>
      </c>
      <c r="J88" s="48">
        <f>Table2[[#This Row],[Activated ratio]]*Table2[[#This Row],['# Count]]</f>
        <v>1572864</v>
      </c>
    </row>
    <row r="89" spans="6:10" x14ac:dyDescent="0.25">
      <c r="F89" s="43">
        <v>768</v>
      </c>
      <c r="G89" s="45" t="s">
        <v>229</v>
      </c>
      <c r="H89" s="43" t="s">
        <v>144</v>
      </c>
      <c r="I89" s="2">
        <v>1</v>
      </c>
      <c r="J89" s="2">
        <f>Table2[[#This Row],[Activated ratio]]*Table2[[#This Row],['# Count]]</f>
        <v>768</v>
      </c>
    </row>
    <row r="90" spans="6:10" x14ac:dyDescent="0.25">
      <c r="F90" s="43">
        <v>24576000</v>
      </c>
      <c r="G90" s="45" t="s">
        <v>230</v>
      </c>
      <c r="H90" s="43" t="s">
        <v>142</v>
      </c>
      <c r="I90" s="2">
        <v>1</v>
      </c>
      <c r="J90" s="2">
        <f>Table2[[#This Row],[Activated ratio]]*Table2[[#This Row],['# Count]]</f>
        <v>24576000</v>
      </c>
    </row>
    <row r="91" spans="6:10" x14ac:dyDescent="0.25">
      <c r="F91" s="43">
        <v>401584896</v>
      </c>
      <c r="G91" s="45" t="s">
        <v>231</v>
      </c>
      <c r="H91" s="43"/>
      <c r="J91" s="2">
        <f>SUBTOTAL(109,Table2[activated])</f>
        <v>137343744</v>
      </c>
    </row>
    <row r="92" spans="6:10" x14ac:dyDescent="0.25">
      <c r="F92" s="43"/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CCAD1-B159-43BD-B052-FA3F88510C44}">
  <dimension ref="G6:K112"/>
  <sheetViews>
    <sheetView topLeftCell="A79" workbookViewId="0">
      <selection activeCell="K110" sqref="K110"/>
    </sheetView>
  </sheetViews>
  <sheetFormatPr defaultRowHeight="15" x14ac:dyDescent="0.25"/>
  <cols>
    <col min="7" max="7" width="12.42578125" bestFit="1" customWidth="1"/>
    <col min="8" max="8" width="40" bestFit="1" customWidth="1"/>
    <col min="9" max="9" width="16.140625" bestFit="1" customWidth="1"/>
    <col min="10" max="10" width="14" customWidth="1"/>
    <col min="11" max="11" width="13.28515625" bestFit="1" customWidth="1"/>
  </cols>
  <sheetData>
    <row r="6" spans="7:11" x14ac:dyDescent="0.25">
      <c r="J6" t="s">
        <v>256</v>
      </c>
    </row>
    <row r="7" spans="7:11" x14ac:dyDescent="0.25">
      <c r="J7" t="s">
        <v>257</v>
      </c>
    </row>
    <row r="8" spans="7:11" x14ac:dyDescent="0.25">
      <c r="J8" t="s">
        <v>258</v>
      </c>
    </row>
    <row r="10" spans="7:11" x14ac:dyDescent="0.25">
      <c r="G10" t="s">
        <v>138</v>
      </c>
      <c r="H10" t="s">
        <v>139</v>
      </c>
      <c r="I10" t="s">
        <v>140</v>
      </c>
      <c r="J10" t="s">
        <v>233</v>
      </c>
      <c r="K10" t="s">
        <v>235</v>
      </c>
    </row>
    <row r="11" spans="7:11" x14ac:dyDescent="0.25">
      <c r="G11">
        <v>24576000</v>
      </c>
      <c r="H11" t="s">
        <v>141</v>
      </c>
      <c r="I11" t="s">
        <v>142</v>
      </c>
      <c r="J11">
        <v>1</v>
      </c>
      <c r="K11">
        <f>Table3[[#This Row],['# Count]]*Table3[[#This Row],[activated ratio]]</f>
        <v>24576000</v>
      </c>
    </row>
    <row r="12" spans="7:11" x14ac:dyDescent="0.25">
      <c r="G12">
        <v>768</v>
      </c>
      <c r="H12" t="s">
        <v>143</v>
      </c>
      <c r="I12" t="s">
        <v>144</v>
      </c>
      <c r="J12">
        <v>1</v>
      </c>
      <c r="K12">
        <f>Table3[[#This Row],['# Count]]*Table3[[#This Row],[activated ratio]]</f>
        <v>768</v>
      </c>
    </row>
    <row r="13" spans="7:11" x14ac:dyDescent="0.25">
      <c r="G13">
        <v>1572864</v>
      </c>
      <c r="H13" t="s">
        <v>145</v>
      </c>
      <c r="I13" t="s">
        <v>146</v>
      </c>
      <c r="J13">
        <v>1</v>
      </c>
      <c r="K13">
        <f>Table3[[#This Row],['# Count]]*Table3[[#This Row],[activated ratio]]</f>
        <v>1572864</v>
      </c>
    </row>
    <row r="14" spans="7:11" x14ac:dyDescent="0.25">
      <c r="G14">
        <v>1572864</v>
      </c>
      <c r="H14" t="s">
        <v>147</v>
      </c>
      <c r="I14" t="s">
        <v>146</v>
      </c>
      <c r="J14">
        <v>1</v>
      </c>
      <c r="K14">
        <f>Table3[[#This Row],['# Count]]*Table3[[#This Row],[activated ratio]]</f>
        <v>1572864</v>
      </c>
    </row>
    <row r="15" spans="7:11" x14ac:dyDescent="0.25">
      <c r="G15">
        <v>1572864</v>
      </c>
      <c r="H15" t="s">
        <v>148</v>
      </c>
      <c r="I15" t="s">
        <v>146</v>
      </c>
      <c r="J15">
        <v>1</v>
      </c>
      <c r="K15">
        <f>Table3[[#This Row],['# Count]]*Table3[[#This Row],[activated ratio]]</f>
        <v>1572864</v>
      </c>
    </row>
    <row r="16" spans="7:11" x14ac:dyDescent="0.25">
      <c r="G16">
        <v>1572864</v>
      </c>
      <c r="H16" t="s">
        <v>149</v>
      </c>
      <c r="I16" t="s">
        <v>150</v>
      </c>
      <c r="J16">
        <v>1</v>
      </c>
      <c r="K16">
        <f>Table3[[#This Row],['# Count]]*Table3[[#This Row],[activated ratio]]</f>
        <v>1572864</v>
      </c>
    </row>
    <row r="17" spans="7:11" x14ac:dyDescent="0.25">
      <c r="G17">
        <v>768</v>
      </c>
      <c r="H17" t="s">
        <v>151</v>
      </c>
      <c r="I17" t="s">
        <v>144</v>
      </c>
      <c r="J17">
        <v>1</v>
      </c>
      <c r="K17">
        <f>Table3[[#This Row],['# Count]]*Table3[[#This Row],[activated ratio]]</f>
        <v>768</v>
      </c>
    </row>
    <row r="18" spans="7:11" x14ac:dyDescent="0.25">
      <c r="G18">
        <v>12288</v>
      </c>
      <c r="H18" t="s">
        <v>152</v>
      </c>
      <c r="I18" t="s">
        <v>153</v>
      </c>
      <c r="J18">
        <v>1</v>
      </c>
      <c r="K18">
        <f>Table3[[#This Row],['# Count]]*Table3[[#This Row],[activated ratio]]</f>
        <v>12288</v>
      </c>
    </row>
    <row r="19" spans="7:11" x14ac:dyDescent="0.25">
      <c r="G19" s="49">
        <v>294912</v>
      </c>
      <c r="H19" s="49" t="s">
        <v>236</v>
      </c>
      <c r="I19" s="49" t="s">
        <v>237</v>
      </c>
      <c r="J19" s="49">
        <v>1</v>
      </c>
      <c r="K19" s="49">
        <f>Table3[[#This Row],['# Count]]*Table3[[#This Row],[activated ratio]]</f>
        <v>294912</v>
      </c>
    </row>
    <row r="20" spans="7:11" x14ac:dyDescent="0.25">
      <c r="G20" s="47">
        <v>6291456</v>
      </c>
      <c r="H20" s="47" t="s">
        <v>154</v>
      </c>
      <c r="I20" s="47" t="s">
        <v>238</v>
      </c>
      <c r="J20" s="47">
        <v>0.125</v>
      </c>
      <c r="K20" s="47">
        <f>Table3[[#This Row],['# Count]]*Table3[[#This Row],[activated ratio]]</f>
        <v>786432</v>
      </c>
    </row>
    <row r="21" spans="7:11" x14ac:dyDescent="0.25">
      <c r="G21" s="47">
        <v>6291456</v>
      </c>
      <c r="H21" s="47" t="s">
        <v>156</v>
      </c>
      <c r="I21" s="47" t="s">
        <v>238</v>
      </c>
      <c r="J21" s="47">
        <v>0.125</v>
      </c>
      <c r="K21" s="47">
        <f>Table3[[#This Row],['# Count]]*Table3[[#This Row],[activated ratio]]</f>
        <v>786432</v>
      </c>
    </row>
    <row r="22" spans="7:11" x14ac:dyDescent="0.25">
      <c r="G22" s="47">
        <v>6291456</v>
      </c>
      <c r="H22" s="47" t="s">
        <v>157</v>
      </c>
      <c r="I22" s="47" t="s">
        <v>239</v>
      </c>
      <c r="J22" s="47">
        <v>0.125</v>
      </c>
      <c r="K22" s="47">
        <f>Table3[[#This Row],['# Count]]*Table3[[#This Row],[activated ratio]]</f>
        <v>786432</v>
      </c>
    </row>
    <row r="23" spans="7:11" x14ac:dyDescent="0.25">
      <c r="G23" s="49">
        <v>294912</v>
      </c>
      <c r="H23" s="49" t="s">
        <v>240</v>
      </c>
      <c r="I23" s="49" t="s">
        <v>241</v>
      </c>
      <c r="J23" s="49">
        <v>1</v>
      </c>
      <c r="K23" s="49">
        <f>Table3[[#This Row],['# Count]]*Table3[[#This Row],[activated ratio]]</f>
        <v>294912</v>
      </c>
    </row>
    <row r="24" spans="7:11" x14ac:dyDescent="0.25">
      <c r="G24">
        <v>768</v>
      </c>
      <c r="H24" t="s">
        <v>159</v>
      </c>
      <c r="I24" t="s">
        <v>144</v>
      </c>
      <c r="J24">
        <v>1</v>
      </c>
      <c r="K24">
        <f>Table3[[#This Row],['# Count]]*Table3[[#This Row],[activated ratio]]</f>
        <v>768</v>
      </c>
    </row>
    <row r="25" spans="7:11" x14ac:dyDescent="0.25">
      <c r="G25">
        <v>1572864</v>
      </c>
      <c r="H25" t="s">
        <v>160</v>
      </c>
      <c r="I25" t="s">
        <v>146</v>
      </c>
      <c r="J25">
        <v>1</v>
      </c>
      <c r="K25">
        <f>Table3[[#This Row],['# Count]]*Table3[[#This Row],[activated ratio]]</f>
        <v>1572864</v>
      </c>
    </row>
    <row r="26" spans="7:11" x14ac:dyDescent="0.25">
      <c r="G26">
        <v>1572864</v>
      </c>
      <c r="H26" t="s">
        <v>161</v>
      </c>
      <c r="I26" t="s">
        <v>146</v>
      </c>
      <c r="J26">
        <v>1</v>
      </c>
      <c r="K26">
        <f>Table3[[#This Row],['# Count]]*Table3[[#This Row],[activated ratio]]</f>
        <v>1572864</v>
      </c>
    </row>
    <row r="27" spans="7:11" x14ac:dyDescent="0.25">
      <c r="G27">
        <v>1572864</v>
      </c>
      <c r="H27" t="s">
        <v>162</v>
      </c>
      <c r="I27" t="s">
        <v>146</v>
      </c>
      <c r="J27">
        <v>1</v>
      </c>
      <c r="K27">
        <f>Table3[[#This Row],['# Count]]*Table3[[#This Row],[activated ratio]]</f>
        <v>1572864</v>
      </c>
    </row>
    <row r="28" spans="7:11" x14ac:dyDescent="0.25">
      <c r="G28">
        <v>1572864</v>
      </c>
      <c r="H28" t="s">
        <v>163</v>
      </c>
      <c r="I28" t="s">
        <v>150</v>
      </c>
      <c r="J28">
        <v>1</v>
      </c>
      <c r="K28">
        <f>Table3[[#This Row],['# Count]]*Table3[[#This Row],[activated ratio]]</f>
        <v>1572864</v>
      </c>
    </row>
    <row r="29" spans="7:11" x14ac:dyDescent="0.25">
      <c r="G29">
        <v>768</v>
      </c>
      <c r="H29" t="s">
        <v>164</v>
      </c>
      <c r="I29" t="s">
        <v>144</v>
      </c>
      <c r="J29">
        <v>1</v>
      </c>
      <c r="K29">
        <f>Table3[[#This Row],['# Count]]*Table3[[#This Row],[activated ratio]]</f>
        <v>768</v>
      </c>
    </row>
    <row r="30" spans="7:11" x14ac:dyDescent="0.25">
      <c r="G30">
        <v>12288</v>
      </c>
      <c r="H30" t="s">
        <v>165</v>
      </c>
      <c r="I30" t="s">
        <v>153</v>
      </c>
      <c r="J30">
        <v>1</v>
      </c>
      <c r="K30">
        <f>Table3[[#This Row],['# Count]]*Table3[[#This Row],[activated ratio]]</f>
        <v>12288</v>
      </c>
    </row>
    <row r="31" spans="7:11" x14ac:dyDescent="0.25">
      <c r="G31" s="49">
        <v>294912</v>
      </c>
      <c r="H31" s="49" t="s">
        <v>242</v>
      </c>
      <c r="I31" s="49" t="s">
        <v>237</v>
      </c>
      <c r="J31" s="49">
        <v>1</v>
      </c>
      <c r="K31" s="49">
        <f>Table3[[#This Row],['# Count]]*Table3[[#This Row],[activated ratio]]</f>
        <v>294912</v>
      </c>
    </row>
    <row r="32" spans="7:11" x14ac:dyDescent="0.25">
      <c r="G32" s="47">
        <v>6291456</v>
      </c>
      <c r="H32" s="47" t="s">
        <v>166</v>
      </c>
      <c r="I32" s="47" t="s">
        <v>238</v>
      </c>
      <c r="J32" s="47">
        <v>0.125</v>
      </c>
      <c r="K32" s="47">
        <f>Table3[[#This Row],['# Count]]*Table3[[#This Row],[activated ratio]]</f>
        <v>786432</v>
      </c>
    </row>
    <row r="33" spans="7:11" x14ac:dyDescent="0.25">
      <c r="G33" s="47">
        <v>6291456</v>
      </c>
      <c r="H33" s="47" t="s">
        <v>167</v>
      </c>
      <c r="I33" s="47" t="s">
        <v>238</v>
      </c>
      <c r="J33" s="47">
        <v>0.125</v>
      </c>
      <c r="K33" s="47">
        <f>Table3[[#This Row],['# Count]]*Table3[[#This Row],[activated ratio]]</f>
        <v>786432</v>
      </c>
    </row>
    <row r="34" spans="7:11" x14ac:dyDescent="0.25">
      <c r="G34" s="47">
        <v>6291456</v>
      </c>
      <c r="H34" s="47" t="s">
        <v>168</v>
      </c>
      <c r="I34" s="47" t="s">
        <v>239</v>
      </c>
      <c r="J34" s="47">
        <v>0.125</v>
      </c>
      <c r="K34" s="47">
        <f>Table3[[#This Row],['# Count]]*Table3[[#This Row],[activated ratio]]</f>
        <v>786432</v>
      </c>
    </row>
    <row r="35" spans="7:11" x14ac:dyDescent="0.25">
      <c r="G35" s="49">
        <v>294912</v>
      </c>
      <c r="H35" s="49" t="s">
        <v>243</v>
      </c>
      <c r="I35" s="49" t="s">
        <v>241</v>
      </c>
      <c r="J35" s="49">
        <v>1</v>
      </c>
      <c r="K35" s="49">
        <f>Table3[[#This Row],['# Count]]*Table3[[#This Row],[activated ratio]]</f>
        <v>294912</v>
      </c>
    </row>
    <row r="36" spans="7:11" x14ac:dyDescent="0.25">
      <c r="G36">
        <v>768</v>
      </c>
      <c r="H36" t="s">
        <v>169</v>
      </c>
      <c r="I36" t="s">
        <v>144</v>
      </c>
      <c r="J36">
        <v>1</v>
      </c>
      <c r="K36">
        <f>Table3[[#This Row],['# Count]]*Table3[[#This Row],[activated ratio]]</f>
        <v>768</v>
      </c>
    </row>
    <row r="37" spans="7:11" x14ac:dyDescent="0.25">
      <c r="G37">
        <v>1572864</v>
      </c>
      <c r="H37" t="s">
        <v>170</v>
      </c>
      <c r="I37" t="s">
        <v>146</v>
      </c>
      <c r="J37">
        <v>1</v>
      </c>
      <c r="K37">
        <f>Table3[[#This Row],['# Count]]*Table3[[#This Row],[activated ratio]]</f>
        <v>1572864</v>
      </c>
    </row>
    <row r="38" spans="7:11" x14ac:dyDescent="0.25">
      <c r="G38">
        <v>1572864</v>
      </c>
      <c r="H38" t="s">
        <v>171</v>
      </c>
      <c r="I38" t="s">
        <v>146</v>
      </c>
      <c r="J38">
        <v>1</v>
      </c>
      <c r="K38">
        <f>Table3[[#This Row],['# Count]]*Table3[[#This Row],[activated ratio]]</f>
        <v>1572864</v>
      </c>
    </row>
    <row r="39" spans="7:11" x14ac:dyDescent="0.25">
      <c r="G39">
        <v>1572864</v>
      </c>
      <c r="H39" t="s">
        <v>172</v>
      </c>
      <c r="I39" t="s">
        <v>146</v>
      </c>
      <c r="J39">
        <v>1</v>
      </c>
      <c r="K39">
        <f>Table3[[#This Row],['# Count]]*Table3[[#This Row],[activated ratio]]</f>
        <v>1572864</v>
      </c>
    </row>
    <row r="40" spans="7:11" x14ac:dyDescent="0.25">
      <c r="G40">
        <v>1572864</v>
      </c>
      <c r="H40" t="s">
        <v>173</v>
      </c>
      <c r="I40" t="s">
        <v>150</v>
      </c>
      <c r="J40">
        <v>1</v>
      </c>
      <c r="K40">
        <f>Table3[[#This Row],['# Count]]*Table3[[#This Row],[activated ratio]]</f>
        <v>1572864</v>
      </c>
    </row>
    <row r="41" spans="7:11" x14ac:dyDescent="0.25">
      <c r="G41">
        <v>768</v>
      </c>
      <c r="H41" t="s">
        <v>174</v>
      </c>
      <c r="I41" t="s">
        <v>144</v>
      </c>
      <c r="J41">
        <v>1</v>
      </c>
      <c r="K41">
        <f>Table3[[#This Row],['# Count]]*Table3[[#This Row],[activated ratio]]</f>
        <v>768</v>
      </c>
    </row>
    <row r="42" spans="7:11" x14ac:dyDescent="0.25">
      <c r="G42">
        <v>12288</v>
      </c>
      <c r="H42" t="s">
        <v>175</v>
      </c>
      <c r="I42" t="s">
        <v>153</v>
      </c>
      <c r="J42">
        <v>1</v>
      </c>
      <c r="K42">
        <f>Table3[[#This Row],['# Count]]*Table3[[#This Row],[activated ratio]]</f>
        <v>12288</v>
      </c>
    </row>
    <row r="43" spans="7:11" x14ac:dyDescent="0.25">
      <c r="G43" s="49">
        <v>294912</v>
      </c>
      <c r="H43" s="49" t="s">
        <v>244</v>
      </c>
      <c r="I43" s="49" t="s">
        <v>237</v>
      </c>
      <c r="J43" s="49">
        <v>1</v>
      </c>
      <c r="K43" s="49">
        <f>Table3[[#This Row],['# Count]]*Table3[[#This Row],[activated ratio]]</f>
        <v>294912</v>
      </c>
    </row>
    <row r="44" spans="7:11" x14ac:dyDescent="0.25">
      <c r="G44" s="47">
        <v>6291456</v>
      </c>
      <c r="H44" s="47" t="s">
        <v>176</v>
      </c>
      <c r="I44" s="47" t="s">
        <v>238</v>
      </c>
      <c r="J44" s="47">
        <v>0.125</v>
      </c>
      <c r="K44" s="47">
        <f>Table3[[#This Row],['# Count]]*Table3[[#This Row],[activated ratio]]</f>
        <v>786432</v>
      </c>
    </row>
    <row r="45" spans="7:11" x14ac:dyDescent="0.25">
      <c r="G45" s="47">
        <v>6291456</v>
      </c>
      <c r="H45" s="47" t="s">
        <v>177</v>
      </c>
      <c r="I45" s="47" t="s">
        <v>238</v>
      </c>
      <c r="J45" s="47">
        <v>0.125</v>
      </c>
      <c r="K45" s="47">
        <f>Table3[[#This Row],['# Count]]*Table3[[#This Row],[activated ratio]]</f>
        <v>786432</v>
      </c>
    </row>
    <row r="46" spans="7:11" x14ac:dyDescent="0.25">
      <c r="G46" s="47">
        <v>6291456</v>
      </c>
      <c r="H46" s="47" t="s">
        <v>178</v>
      </c>
      <c r="I46" s="47" t="s">
        <v>239</v>
      </c>
      <c r="J46" s="47">
        <v>0.125</v>
      </c>
      <c r="K46" s="47">
        <f>Table3[[#This Row],['# Count]]*Table3[[#This Row],[activated ratio]]</f>
        <v>786432</v>
      </c>
    </row>
    <row r="47" spans="7:11" x14ac:dyDescent="0.25">
      <c r="G47" s="49">
        <v>294912</v>
      </c>
      <c r="H47" s="49" t="s">
        <v>245</v>
      </c>
      <c r="I47" s="49" t="s">
        <v>241</v>
      </c>
      <c r="J47" s="49">
        <v>1</v>
      </c>
      <c r="K47" s="49">
        <f>Table3[[#This Row],['# Count]]*Table3[[#This Row],[activated ratio]]</f>
        <v>294912</v>
      </c>
    </row>
    <row r="48" spans="7:11" x14ac:dyDescent="0.25">
      <c r="G48">
        <v>768</v>
      </c>
      <c r="H48" t="s">
        <v>179</v>
      </c>
      <c r="I48" t="s">
        <v>144</v>
      </c>
      <c r="J48">
        <v>1</v>
      </c>
      <c r="K48">
        <f>Table3[[#This Row],['# Count]]*Table3[[#This Row],[activated ratio]]</f>
        <v>768</v>
      </c>
    </row>
    <row r="49" spans="7:11" x14ac:dyDescent="0.25">
      <c r="G49">
        <v>1572864</v>
      </c>
      <c r="H49" t="s">
        <v>180</v>
      </c>
      <c r="I49" t="s">
        <v>146</v>
      </c>
      <c r="J49">
        <v>1</v>
      </c>
      <c r="K49">
        <f>Table3[[#This Row],['# Count]]*Table3[[#This Row],[activated ratio]]</f>
        <v>1572864</v>
      </c>
    </row>
    <row r="50" spans="7:11" x14ac:dyDescent="0.25">
      <c r="G50">
        <v>1572864</v>
      </c>
      <c r="H50" t="s">
        <v>181</v>
      </c>
      <c r="I50" t="s">
        <v>146</v>
      </c>
      <c r="J50">
        <v>1</v>
      </c>
      <c r="K50">
        <f>Table3[[#This Row],['# Count]]*Table3[[#This Row],[activated ratio]]</f>
        <v>1572864</v>
      </c>
    </row>
    <row r="51" spans="7:11" x14ac:dyDescent="0.25">
      <c r="G51">
        <v>1572864</v>
      </c>
      <c r="H51" t="s">
        <v>182</v>
      </c>
      <c r="I51" t="s">
        <v>146</v>
      </c>
      <c r="J51">
        <v>1</v>
      </c>
      <c r="K51">
        <f>Table3[[#This Row],['# Count]]*Table3[[#This Row],[activated ratio]]</f>
        <v>1572864</v>
      </c>
    </row>
    <row r="52" spans="7:11" x14ac:dyDescent="0.25">
      <c r="G52">
        <v>1572864</v>
      </c>
      <c r="H52" t="s">
        <v>183</v>
      </c>
      <c r="I52" t="s">
        <v>150</v>
      </c>
      <c r="J52">
        <v>1</v>
      </c>
      <c r="K52">
        <f>Table3[[#This Row],['# Count]]*Table3[[#This Row],[activated ratio]]</f>
        <v>1572864</v>
      </c>
    </row>
    <row r="53" spans="7:11" x14ac:dyDescent="0.25">
      <c r="G53">
        <v>768</v>
      </c>
      <c r="H53" t="s">
        <v>184</v>
      </c>
      <c r="I53" t="s">
        <v>144</v>
      </c>
      <c r="J53">
        <v>1</v>
      </c>
      <c r="K53">
        <f>Table3[[#This Row],['# Count]]*Table3[[#This Row],[activated ratio]]</f>
        <v>768</v>
      </c>
    </row>
    <row r="54" spans="7:11" x14ac:dyDescent="0.25">
      <c r="G54">
        <v>12288</v>
      </c>
      <c r="H54" t="s">
        <v>185</v>
      </c>
      <c r="I54" t="s">
        <v>153</v>
      </c>
      <c r="J54">
        <v>1</v>
      </c>
      <c r="K54">
        <f>Table3[[#This Row],['# Count]]*Table3[[#This Row],[activated ratio]]</f>
        <v>12288</v>
      </c>
    </row>
    <row r="55" spans="7:11" x14ac:dyDescent="0.25">
      <c r="G55" s="49">
        <v>294912</v>
      </c>
      <c r="H55" s="49" t="s">
        <v>246</v>
      </c>
      <c r="I55" s="49" t="s">
        <v>237</v>
      </c>
      <c r="J55" s="49">
        <v>1</v>
      </c>
      <c r="K55" s="49">
        <f>Table3[[#This Row],['# Count]]*Table3[[#This Row],[activated ratio]]</f>
        <v>294912</v>
      </c>
    </row>
    <row r="56" spans="7:11" x14ac:dyDescent="0.25">
      <c r="G56" s="47">
        <v>6291456</v>
      </c>
      <c r="H56" s="47" t="s">
        <v>186</v>
      </c>
      <c r="I56" s="47" t="s">
        <v>238</v>
      </c>
      <c r="J56" s="47">
        <v>0.125</v>
      </c>
      <c r="K56" s="47">
        <f>Table3[[#This Row],['# Count]]*Table3[[#This Row],[activated ratio]]</f>
        <v>786432</v>
      </c>
    </row>
    <row r="57" spans="7:11" x14ac:dyDescent="0.25">
      <c r="G57" s="47">
        <v>6291456</v>
      </c>
      <c r="H57" s="47" t="s">
        <v>187</v>
      </c>
      <c r="I57" s="47" t="s">
        <v>238</v>
      </c>
      <c r="J57" s="47">
        <v>0.125</v>
      </c>
      <c r="K57" s="47">
        <f>Table3[[#This Row],['# Count]]*Table3[[#This Row],[activated ratio]]</f>
        <v>786432</v>
      </c>
    </row>
    <row r="58" spans="7:11" x14ac:dyDescent="0.25">
      <c r="G58" s="47">
        <v>6291456</v>
      </c>
      <c r="H58" s="47" t="s">
        <v>188</v>
      </c>
      <c r="I58" s="47" t="s">
        <v>239</v>
      </c>
      <c r="J58" s="47">
        <v>0.125</v>
      </c>
      <c r="K58" s="47">
        <f>Table3[[#This Row],['# Count]]*Table3[[#This Row],[activated ratio]]</f>
        <v>786432</v>
      </c>
    </row>
    <row r="59" spans="7:11" x14ac:dyDescent="0.25">
      <c r="G59" s="49">
        <v>294912</v>
      </c>
      <c r="H59" s="49" t="s">
        <v>247</v>
      </c>
      <c r="I59" s="49" t="s">
        <v>241</v>
      </c>
      <c r="J59" s="49">
        <v>1</v>
      </c>
      <c r="K59" s="49">
        <f>Table3[[#This Row],['# Count]]*Table3[[#This Row],[activated ratio]]</f>
        <v>294912</v>
      </c>
    </row>
    <row r="60" spans="7:11" x14ac:dyDescent="0.25">
      <c r="G60">
        <v>768</v>
      </c>
      <c r="H60" t="s">
        <v>189</v>
      </c>
      <c r="I60" t="s">
        <v>144</v>
      </c>
      <c r="J60">
        <v>1</v>
      </c>
      <c r="K60">
        <f>Table3[[#This Row],['# Count]]*Table3[[#This Row],[activated ratio]]</f>
        <v>768</v>
      </c>
    </row>
    <row r="61" spans="7:11" x14ac:dyDescent="0.25">
      <c r="G61">
        <v>1572864</v>
      </c>
      <c r="H61" t="s">
        <v>190</v>
      </c>
      <c r="I61" t="s">
        <v>146</v>
      </c>
      <c r="J61">
        <v>1</v>
      </c>
      <c r="K61">
        <f>Table3[[#This Row],['# Count]]*Table3[[#This Row],[activated ratio]]</f>
        <v>1572864</v>
      </c>
    </row>
    <row r="62" spans="7:11" x14ac:dyDescent="0.25">
      <c r="G62">
        <v>1572864</v>
      </c>
      <c r="H62" t="s">
        <v>191</v>
      </c>
      <c r="I62" t="s">
        <v>146</v>
      </c>
      <c r="J62">
        <v>1</v>
      </c>
      <c r="K62">
        <f>Table3[[#This Row],['# Count]]*Table3[[#This Row],[activated ratio]]</f>
        <v>1572864</v>
      </c>
    </row>
    <row r="63" spans="7:11" x14ac:dyDescent="0.25">
      <c r="G63">
        <v>1572864</v>
      </c>
      <c r="H63" t="s">
        <v>192</v>
      </c>
      <c r="I63" t="s">
        <v>146</v>
      </c>
      <c r="J63">
        <v>1</v>
      </c>
      <c r="K63">
        <f>Table3[[#This Row],['# Count]]*Table3[[#This Row],[activated ratio]]</f>
        <v>1572864</v>
      </c>
    </row>
    <row r="64" spans="7:11" x14ac:dyDescent="0.25">
      <c r="G64">
        <v>1572864</v>
      </c>
      <c r="H64" t="s">
        <v>193</v>
      </c>
      <c r="I64" t="s">
        <v>150</v>
      </c>
      <c r="J64">
        <v>1</v>
      </c>
      <c r="K64">
        <f>Table3[[#This Row],['# Count]]*Table3[[#This Row],[activated ratio]]</f>
        <v>1572864</v>
      </c>
    </row>
    <row r="65" spans="7:11" x14ac:dyDescent="0.25">
      <c r="G65">
        <v>768</v>
      </c>
      <c r="H65" t="s">
        <v>194</v>
      </c>
      <c r="I65" t="s">
        <v>144</v>
      </c>
      <c r="J65">
        <v>1</v>
      </c>
      <c r="K65">
        <f>Table3[[#This Row],['# Count]]*Table3[[#This Row],[activated ratio]]</f>
        <v>768</v>
      </c>
    </row>
    <row r="66" spans="7:11" x14ac:dyDescent="0.25">
      <c r="G66">
        <v>12288</v>
      </c>
      <c r="H66" t="s">
        <v>195</v>
      </c>
      <c r="I66" t="s">
        <v>153</v>
      </c>
      <c r="J66">
        <v>1</v>
      </c>
      <c r="K66">
        <f>Table3[[#This Row],['# Count]]*Table3[[#This Row],[activated ratio]]</f>
        <v>12288</v>
      </c>
    </row>
    <row r="67" spans="7:11" x14ac:dyDescent="0.25">
      <c r="G67" s="49">
        <v>294912</v>
      </c>
      <c r="H67" s="49" t="s">
        <v>248</v>
      </c>
      <c r="I67" s="49" t="s">
        <v>237</v>
      </c>
      <c r="J67" s="49">
        <v>1</v>
      </c>
      <c r="K67" s="49">
        <f>Table3[[#This Row],['# Count]]*Table3[[#This Row],[activated ratio]]</f>
        <v>294912</v>
      </c>
    </row>
    <row r="68" spans="7:11" x14ac:dyDescent="0.25">
      <c r="G68" s="47">
        <v>6291456</v>
      </c>
      <c r="H68" s="47" t="s">
        <v>196</v>
      </c>
      <c r="I68" s="47" t="s">
        <v>238</v>
      </c>
      <c r="J68" s="47">
        <v>0.125</v>
      </c>
      <c r="K68" s="47">
        <f>Table3[[#This Row],['# Count]]*Table3[[#This Row],[activated ratio]]</f>
        <v>786432</v>
      </c>
    </row>
    <row r="69" spans="7:11" x14ac:dyDescent="0.25">
      <c r="G69" s="47">
        <v>6291456</v>
      </c>
      <c r="H69" s="47" t="s">
        <v>197</v>
      </c>
      <c r="I69" s="47" t="s">
        <v>238</v>
      </c>
      <c r="J69" s="47">
        <v>0.125</v>
      </c>
      <c r="K69" s="47">
        <f>Table3[[#This Row],['# Count]]*Table3[[#This Row],[activated ratio]]</f>
        <v>786432</v>
      </c>
    </row>
    <row r="70" spans="7:11" x14ac:dyDescent="0.25">
      <c r="G70" s="47">
        <v>6291456</v>
      </c>
      <c r="H70" s="47" t="s">
        <v>198</v>
      </c>
      <c r="I70" s="47" t="s">
        <v>239</v>
      </c>
      <c r="J70" s="47">
        <v>0.125</v>
      </c>
      <c r="K70" s="47">
        <f>Table3[[#This Row],['# Count]]*Table3[[#This Row],[activated ratio]]</f>
        <v>786432</v>
      </c>
    </row>
    <row r="71" spans="7:11" x14ac:dyDescent="0.25">
      <c r="G71" s="49">
        <v>294912</v>
      </c>
      <c r="H71" s="49" t="s">
        <v>249</v>
      </c>
      <c r="I71" s="49" t="s">
        <v>241</v>
      </c>
      <c r="J71" s="49">
        <v>1</v>
      </c>
      <c r="K71" s="49">
        <f>Table3[[#This Row],['# Count]]*Table3[[#This Row],[activated ratio]]</f>
        <v>294912</v>
      </c>
    </row>
    <row r="72" spans="7:11" x14ac:dyDescent="0.25">
      <c r="G72">
        <v>768</v>
      </c>
      <c r="H72" t="s">
        <v>199</v>
      </c>
      <c r="I72" t="s">
        <v>144</v>
      </c>
      <c r="J72">
        <v>1</v>
      </c>
      <c r="K72">
        <f>Table3[[#This Row],['# Count]]*Table3[[#This Row],[activated ratio]]</f>
        <v>768</v>
      </c>
    </row>
    <row r="73" spans="7:11" x14ac:dyDescent="0.25">
      <c r="G73">
        <v>1572864</v>
      </c>
      <c r="H73" t="s">
        <v>200</v>
      </c>
      <c r="I73" t="s">
        <v>146</v>
      </c>
      <c r="J73">
        <v>1</v>
      </c>
      <c r="K73">
        <f>Table3[[#This Row],['# Count]]*Table3[[#This Row],[activated ratio]]</f>
        <v>1572864</v>
      </c>
    </row>
    <row r="74" spans="7:11" x14ac:dyDescent="0.25">
      <c r="G74">
        <v>1572864</v>
      </c>
      <c r="H74" t="s">
        <v>201</v>
      </c>
      <c r="I74" t="s">
        <v>146</v>
      </c>
      <c r="J74">
        <v>1</v>
      </c>
      <c r="K74">
        <f>Table3[[#This Row],['# Count]]*Table3[[#This Row],[activated ratio]]</f>
        <v>1572864</v>
      </c>
    </row>
    <row r="75" spans="7:11" x14ac:dyDescent="0.25">
      <c r="G75">
        <v>1572864</v>
      </c>
      <c r="H75" t="s">
        <v>202</v>
      </c>
      <c r="I75" t="s">
        <v>146</v>
      </c>
      <c r="J75">
        <v>1</v>
      </c>
      <c r="K75">
        <f>Table3[[#This Row],['# Count]]*Table3[[#This Row],[activated ratio]]</f>
        <v>1572864</v>
      </c>
    </row>
    <row r="76" spans="7:11" x14ac:dyDescent="0.25">
      <c r="G76">
        <v>1572864</v>
      </c>
      <c r="H76" t="s">
        <v>203</v>
      </c>
      <c r="I76" t="s">
        <v>150</v>
      </c>
      <c r="J76">
        <v>1</v>
      </c>
      <c r="K76">
        <f>Table3[[#This Row],['# Count]]*Table3[[#This Row],[activated ratio]]</f>
        <v>1572864</v>
      </c>
    </row>
    <row r="77" spans="7:11" x14ac:dyDescent="0.25">
      <c r="G77">
        <v>768</v>
      </c>
      <c r="H77" t="s">
        <v>204</v>
      </c>
      <c r="I77" t="s">
        <v>144</v>
      </c>
      <c r="J77">
        <v>1</v>
      </c>
      <c r="K77">
        <f>Table3[[#This Row],['# Count]]*Table3[[#This Row],[activated ratio]]</f>
        <v>768</v>
      </c>
    </row>
    <row r="78" spans="7:11" x14ac:dyDescent="0.25">
      <c r="G78">
        <v>12288</v>
      </c>
      <c r="H78" t="s">
        <v>205</v>
      </c>
      <c r="I78" t="s">
        <v>153</v>
      </c>
      <c r="J78">
        <v>1</v>
      </c>
      <c r="K78">
        <f>Table3[[#This Row],['# Count]]*Table3[[#This Row],[activated ratio]]</f>
        <v>12288</v>
      </c>
    </row>
    <row r="79" spans="7:11" x14ac:dyDescent="0.25">
      <c r="G79" s="49">
        <v>294912</v>
      </c>
      <c r="H79" s="49" t="s">
        <v>250</v>
      </c>
      <c r="I79" s="49" t="s">
        <v>237</v>
      </c>
      <c r="J79" s="49">
        <v>1</v>
      </c>
      <c r="K79" s="49">
        <f>Table3[[#This Row],['# Count]]*Table3[[#This Row],[activated ratio]]</f>
        <v>294912</v>
      </c>
    </row>
    <row r="80" spans="7:11" x14ac:dyDescent="0.25">
      <c r="G80" s="47">
        <v>6291456</v>
      </c>
      <c r="H80" s="47" t="s">
        <v>206</v>
      </c>
      <c r="I80" s="47" t="s">
        <v>238</v>
      </c>
      <c r="J80" s="47">
        <v>0.125</v>
      </c>
      <c r="K80" s="47">
        <f>Table3[[#This Row],['# Count]]*Table3[[#This Row],[activated ratio]]</f>
        <v>786432</v>
      </c>
    </row>
    <row r="81" spans="7:11" x14ac:dyDescent="0.25">
      <c r="G81" s="47">
        <v>6291456</v>
      </c>
      <c r="H81" s="47" t="s">
        <v>207</v>
      </c>
      <c r="I81" s="47" t="s">
        <v>238</v>
      </c>
      <c r="J81" s="47">
        <v>0.125</v>
      </c>
      <c r="K81" s="47">
        <f>Table3[[#This Row],['# Count]]*Table3[[#This Row],[activated ratio]]</f>
        <v>786432</v>
      </c>
    </row>
    <row r="82" spans="7:11" x14ac:dyDescent="0.25">
      <c r="G82" s="47">
        <v>6291456</v>
      </c>
      <c r="H82" s="47" t="s">
        <v>208</v>
      </c>
      <c r="I82" s="47" t="s">
        <v>239</v>
      </c>
      <c r="J82" s="47">
        <v>0.125</v>
      </c>
      <c r="K82" s="47">
        <f>Table3[[#This Row],['# Count]]*Table3[[#This Row],[activated ratio]]</f>
        <v>786432</v>
      </c>
    </row>
    <row r="83" spans="7:11" x14ac:dyDescent="0.25">
      <c r="G83" s="49">
        <v>294912</v>
      </c>
      <c r="H83" s="49" t="s">
        <v>251</v>
      </c>
      <c r="I83" s="49" t="s">
        <v>241</v>
      </c>
      <c r="J83" s="49">
        <v>1</v>
      </c>
      <c r="K83" s="49">
        <f>Table3[[#This Row],['# Count]]*Table3[[#This Row],[activated ratio]]</f>
        <v>294912</v>
      </c>
    </row>
    <row r="84" spans="7:11" x14ac:dyDescent="0.25">
      <c r="G84">
        <v>768</v>
      </c>
      <c r="H84" t="s">
        <v>209</v>
      </c>
      <c r="I84" t="s">
        <v>144</v>
      </c>
      <c r="J84">
        <v>1</v>
      </c>
      <c r="K84">
        <f>Table3[[#This Row],['# Count]]*Table3[[#This Row],[activated ratio]]</f>
        <v>768</v>
      </c>
    </row>
    <row r="85" spans="7:11" x14ac:dyDescent="0.25">
      <c r="G85">
        <v>1572864</v>
      </c>
      <c r="H85" t="s">
        <v>210</v>
      </c>
      <c r="I85" t="s">
        <v>146</v>
      </c>
      <c r="J85">
        <v>1</v>
      </c>
      <c r="K85">
        <f>Table3[[#This Row],['# Count]]*Table3[[#This Row],[activated ratio]]</f>
        <v>1572864</v>
      </c>
    </row>
    <row r="86" spans="7:11" x14ac:dyDescent="0.25">
      <c r="G86">
        <v>1572864</v>
      </c>
      <c r="H86" t="s">
        <v>211</v>
      </c>
      <c r="I86" t="s">
        <v>146</v>
      </c>
      <c r="J86">
        <v>1</v>
      </c>
      <c r="K86">
        <f>Table3[[#This Row],['# Count]]*Table3[[#This Row],[activated ratio]]</f>
        <v>1572864</v>
      </c>
    </row>
    <row r="87" spans="7:11" x14ac:dyDescent="0.25">
      <c r="G87">
        <v>1572864</v>
      </c>
      <c r="H87" t="s">
        <v>212</v>
      </c>
      <c r="I87" t="s">
        <v>146</v>
      </c>
      <c r="J87">
        <v>1</v>
      </c>
      <c r="K87">
        <f>Table3[[#This Row],['# Count]]*Table3[[#This Row],[activated ratio]]</f>
        <v>1572864</v>
      </c>
    </row>
    <row r="88" spans="7:11" x14ac:dyDescent="0.25">
      <c r="G88">
        <v>1572864</v>
      </c>
      <c r="H88" t="s">
        <v>213</v>
      </c>
      <c r="I88" t="s">
        <v>150</v>
      </c>
      <c r="J88">
        <v>1</v>
      </c>
      <c r="K88">
        <f>Table3[[#This Row],['# Count]]*Table3[[#This Row],[activated ratio]]</f>
        <v>1572864</v>
      </c>
    </row>
    <row r="89" spans="7:11" x14ac:dyDescent="0.25">
      <c r="G89">
        <v>768</v>
      </c>
      <c r="H89" t="s">
        <v>214</v>
      </c>
      <c r="I89" t="s">
        <v>144</v>
      </c>
      <c r="J89">
        <v>1</v>
      </c>
      <c r="K89">
        <f>Table3[[#This Row],['# Count]]*Table3[[#This Row],[activated ratio]]</f>
        <v>768</v>
      </c>
    </row>
    <row r="90" spans="7:11" x14ac:dyDescent="0.25">
      <c r="G90">
        <v>12288</v>
      </c>
      <c r="H90" t="s">
        <v>215</v>
      </c>
      <c r="I90" t="s">
        <v>153</v>
      </c>
      <c r="J90">
        <v>1</v>
      </c>
      <c r="K90">
        <f>Table3[[#This Row],['# Count]]*Table3[[#This Row],[activated ratio]]</f>
        <v>12288</v>
      </c>
    </row>
    <row r="91" spans="7:11" x14ac:dyDescent="0.25">
      <c r="G91" s="49">
        <v>294912</v>
      </c>
      <c r="H91" s="49" t="s">
        <v>252</v>
      </c>
      <c r="I91" s="49" t="s">
        <v>237</v>
      </c>
      <c r="J91" s="49">
        <v>1</v>
      </c>
      <c r="K91" s="49">
        <f>Table3[[#This Row],['# Count]]*Table3[[#This Row],[activated ratio]]</f>
        <v>294912</v>
      </c>
    </row>
    <row r="92" spans="7:11" x14ac:dyDescent="0.25">
      <c r="G92" s="47">
        <v>6291456</v>
      </c>
      <c r="H92" s="47" t="s">
        <v>216</v>
      </c>
      <c r="I92" s="47" t="s">
        <v>238</v>
      </c>
      <c r="J92" s="47">
        <v>0.125</v>
      </c>
      <c r="K92" s="47">
        <f>Table3[[#This Row],['# Count]]*Table3[[#This Row],[activated ratio]]</f>
        <v>786432</v>
      </c>
    </row>
    <row r="93" spans="7:11" x14ac:dyDescent="0.25">
      <c r="G93" s="47">
        <v>6291456</v>
      </c>
      <c r="H93" s="47" t="s">
        <v>217</v>
      </c>
      <c r="I93" s="47" t="s">
        <v>238</v>
      </c>
      <c r="J93" s="47">
        <v>0.125</v>
      </c>
      <c r="K93" s="47">
        <f>Table3[[#This Row],['# Count]]*Table3[[#This Row],[activated ratio]]</f>
        <v>786432</v>
      </c>
    </row>
    <row r="94" spans="7:11" x14ac:dyDescent="0.25">
      <c r="G94" s="47">
        <v>6291456</v>
      </c>
      <c r="H94" s="47" t="s">
        <v>218</v>
      </c>
      <c r="I94" s="47" t="s">
        <v>239</v>
      </c>
      <c r="J94" s="47">
        <v>0.125</v>
      </c>
      <c r="K94" s="47">
        <f>Table3[[#This Row],['# Count]]*Table3[[#This Row],[activated ratio]]</f>
        <v>786432</v>
      </c>
    </row>
    <row r="95" spans="7:11" x14ac:dyDescent="0.25">
      <c r="G95" s="49">
        <v>294912</v>
      </c>
      <c r="H95" s="49" t="s">
        <v>253</v>
      </c>
      <c r="I95" s="49" t="s">
        <v>241</v>
      </c>
      <c r="J95" s="49">
        <v>1</v>
      </c>
      <c r="K95" s="49">
        <f>Table3[[#This Row],['# Count]]*Table3[[#This Row],[activated ratio]]</f>
        <v>294912</v>
      </c>
    </row>
    <row r="96" spans="7:11" x14ac:dyDescent="0.25">
      <c r="G96">
        <v>768</v>
      </c>
      <c r="H96" t="s">
        <v>219</v>
      </c>
      <c r="I96" t="s">
        <v>144</v>
      </c>
      <c r="J96">
        <v>1</v>
      </c>
      <c r="K96">
        <f>Table3[[#This Row],['# Count]]*Table3[[#This Row],[activated ratio]]</f>
        <v>768</v>
      </c>
    </row>
    <row r="97" spans="7:11" x14ac:dyDescent="0.25">
      <c r="G97">
        <v>1572864</v>
      </c>
      <c r="H97" t="s">
        <v>220</v>
      </c>
      <c r="I97" t="s">
        <v>146</v>
      </c>
      <c r="J97">
        <v>1</v>
      </c>
      <c r="K97">
        <f>Table3[[#This Row],['# Count]]*Table3[[#This Row],[activated ratio]]</f>
        <v>1572864</v>
      </c>
    </row>
    <row r="98" spans="7:11" x14ac:dyDescent="0.25">
      <c r="G98">
        <v>1572864</v>
      </c>
      <c r="H98" t="s">
        <v>221</v>
      </c>
      <c r="I98" t="s">
        <v>146</v>
      </c>
      <c r="J98">
        <v>1</v>
      </c>
      <c r="K98">
        <f>Table3[[#This Row],['# Count]]*Table3[[#This Row],[activated ratio]]</f>
        <v>1572864</v>
      </c>
    </row>
    <row r="99" spans="7:11" x14ac:dyDescent="0.25">
      <c r="G99">
        <v>1572864</v>
      </c>
      <c r="H99" t="s">
        <v>222</v>
      </c>
      <c r="I99" t="s">
        <v>146</v>
      </c>
      <c r="J99">
        <v>1</v>
      </c>
      <c r="K99">
        <f>Table3[[#This Row],['# Count]]*Table3[[#This Row],[activated ratio]]</f>
        <v>1572864</v>
      </c>
    </row>
    <row r="100" spans="7:11" x14ac:dyDescent="0.25">
      <c r="G100">
        <v>1572864</v>
      </c>
      <c r="H100" t="s">
        <v>223</v>
      </c>
      <c r="I100" t="s">
        <v>150</v>
      </c>
      <c r="J100">
        <v>1</v>
      </c>
      <c r="K100">
        <f>Table3[[#This Row],['# Count]]*Table3[[#This Row],[activated ratio]]</f>
        <v>1572864</v>
      </c>
    </row>
    <row r="101" spans="7:11" x14ac:dyDescent="0.25">
      <c r="G101">
        <v>768</v>
      </c>
      <c r="H101" t="s">
        <v>224</v>
      </c>
      <c r="I101" t="s">
        <v>144</v>
      </c>
      <c r="J101">
        <v>1</v>
      </c>
      <c r="K101">
        <f>Table3[[#This Row],['# Count]]*Table3[[#This Row],[activated ratio]]</f>
        <v>768</v>
      </c>
    </row>
    <row r="102" spans="7:11" x14ac:dyDescent="0.25">
      <c r="G102">
        <v>12288</v>
      </c>
      <c r="H102" t="s">
        <v>225</v>
      </c>
      <c r="I102" t="s">
        <v>153</v>
      </c>
      <c r="J102">
        <v>1</v>
      </c>
      <c r="K102">
        <f>Table3[[#This Row],['# Count]]*Table3[[#This Row],[activated ratio]]</f>
        <v>12288</v>
      </c>
    </row>
    <row r="103" spans="7:11" x14ac:dyDescent="0.25">
      <c r="G103" s="49">
        <v>294912</v>
      </c>
      <c r="H103" s="49" t="s">
        <v>254</v>
      </c>
      <c r="I103" s="49" t="s">
        <v>237</v>
      </c>
      <c r="J103" s="49">
        <v>1</v>
      </c>
      <c r="K103" s="49">
        <f>Table3[[#This Row],['# Count]]*Table3[[#This Row],[activated ratio]]</f>
        <v>294912</v>
      </c>
    </row>
    <row r="104" spans="7:11" x14ac:dyDescent="0.25">
      <c r="G104" s="47">
        <v>6291456</v>
      </c>
      <c r="H104" s="47" t="s">
        <v>226</v>
      </c>
      <c r="I104" s="47" t="s">
        <v>238</v>
      </c>
      <c r="J104" s="47">
        <v>0.125</v>
      </c>
      <c r="K104" s="47">
        <f>Table3[[#This Row],['# Count]]*Table3[[#This Row],[activated ratio]]</f>
        <v>786432</v>
      </c>
    </row>
    <row r="105" spans="7:11" x14ac:dyDescent="0.25">
      <c r="G105" s="47">
        <v>6291456</v>
      </c>
      <c r="H105" s="47" t="s">
        <v>227</v>
      </c>
      <c r="I105" s="47" t="s">
        <v>238</v>
      </c>
      <c r="J105" s="47">
        <v>0.125</v>
      </c>
      <c r="K105" s="47">
        <f>Table3[[#This Row],['# Count]]*Table3[[#This Row],[activated ratio]]</f>
        <v>786432</v>
      </c>
    </row>
    <row r="106" spans="7:11" x14ac:dyDescent="0.25">
      <c r="G106" s="47">
        <v>6291456</v>
      </c>
      <c r="H106" s="47" t="s">
        <v>228</v>
      </c>
      <c r="I106" s="47" t="s">
        <v>239</v>
      </c>
      <c r="J106" s="47">
        <v>0.125</v>
      </c>
      <c r="K106" s="47">
        <f>Table3[[#This Row],['# Count]]*Table3[[#This Row],[activated ratio]]</f>
        <v>786432</v>
      </c>
    </row>
    <row r="107" spans="7:11" x14ac:dyDescent="0.25">
      <c r="G107" s="49">
        <v>294912</v>
      </c>
      <c r="H107" s="49" t="s">
        <v>255</v>
      </c>
      <c r="I107" s="49" t="s">
        <v>241</v>
      </c>
      <c r="J107" s="49">
        <v>1</v>
      </c>
      <c r="K107" s="49">
        <f>Table3[[#This Row],['# Count]]*Table3[[#This Row],[activated ratio]]</f>
        <v>294912</v>
      </c>
    </row>
    <row r="108" spans="7:11" x14ac:dyDescent="0.25">
      <c r="G108">
        <v>768</v>
      </c>
      <c r="H108" t="s">
        <v>229</v>
      </c>
      <c r="I108" t="s">
        <v>144</v>
      </c>
      <c r="J108">
        <v>1</v>
      </c>
      <c r="K108">
        <f>Table3[[#This Row],['# Count]]*Table3[[#This Row],[activated ratio]]</f>
        <v>768</v>
      </c>
    </row>
    <row r="109" spans="7:11" x14ac:dyDescent="0.25">
      <c r="G109">
        <v>24576000</v>
      </c>
      <c r="H109" t="s">
        <v>230</v>
      </c>
      <c r="I109" t="s">
        <v>142</v>
      </c>
      <c r="J109">
        <v>1</v>
      </c>
      <c r="K109">
        <f>Table3[[#This Row],['# Count]]*Table3[[#This Row],[activated ratio]]</f>
        <v>24576000</v>
      </c>
    </row>
    <row r="110" spans="7:11" x14ac:dyDescent="0.25">
      <c r="G110">
        <f>SUBTOTAL(109,Table3['# Count])</f>
        <v>255308544</v>
      </c>
      <c r="K110">
        <f>SUBTOTAL(109,Table3[activated])</f>
        <v>123187968</v>
      </c>
    </row>
    <row r="112" spans="7:11" x14ac:dyDescent="0.25">
      <c r="J112" s="49" t="s">
        <v>263</v>
      </c>
      <c r="K112" s="50">
        <v>4718592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CB51A-35E4-41F7-9A95-A6FFBDB0C939}">
  <dimension ref="G3:K110"/>
  <sheetViews>
    <sheetView topLeftCell="A82" workbookViewId="0">
      <selection activeCell="K110" sqref="K110"/>
    </sheetView>
  </sheetViews>
  <sheetFormatPr defaultRowHeight="15" x14ac:dyDescent="0.25"/>
  <cols>
    <col min="7" max="7" width="12.42578125" bestFit="1" customWidth="1"/>
    <col min="8" max="8" width="40" bestFit="1" customWidth="1"/>
    <col min="9" max="9" width="16.140625" bestFit="1" customWidth="1"/>
    <col min="10" max="10" width="13.5703125" customWidth="1"/>
    <col min="11" max="11" width="19.5703125" customWidth="1"/>
  </cols>
  <sheetData>
    <row r="3" spans="7:11" x14ac:dyDescent="0.25">
      <c r="I3" t="s">
        <v>256</v>
      </c>
    </row>
    <row r="4" spans="7:11" x14ac:dyDescent="0.25">
      <c r="I4" t="s">
        <v>257</v>
      </c>
    </row>
    <row r="5" spans="7:11" x14ac:dyDescent="0.25">
      <c r="I5" t="s">
        <v>275</v>
      </c>
    </row>
    <row r="7" spans="7:11" x14ac:dyDescent="0.25">
      <c r="G7" t="s">
        <v>138</v>
      </c>
      <c r="H7" t="s">
        <v>139</v>
      </c>
      <c r="I7" t="s">
        <v>140</v>
      </c>
      <c r="J7" t="s">
        <v>233</v>
      </c>
      <c r="K7" t="s">
        <v>235</v>
      </c>
    </row>
    <row r="8" spans="7:11" x14ac:dyDescent="0.25">
      <c r="G8">
        <v>24576000</v>
      </c>
      <c r="H8" t="s">
        <v>141</v>
      </c>
      <c r="I8" t="s">
        <v>142</v>
      </c>
      <c r="J8">
        <v>1</v>
      </c>
      <c r="K8">
        <f>Table5[[#This Row],[activated ratio]]*Table5[[#This Row],['# Count]]</f>
        <v>24576000</v>
      </c>
    </row>
    <row r="9" spans="7:11" x14ac:dyDescent="0.25">
      <c r="G9">
        <v>768</v>
      </c>
      <c r="H9" t="s">
        <v>143</v>
      </c>
      <c r="I9" t="s">
        <v>144</v>
      </c>
      <c r="J9">
        <v>1</v>
      </c>
      <c r="K9">
        <f>Table5[[#This Row],[activated ratio]]*Table5[[#This Row],['# Count]]</f>
        <v>768</v>
      </c>
    </row>
    <row r="10" spans="7:11" x14ac:dyDescent="0.25">
      <c r="G10">
        <v>1572864</v>
      </c>
      <c r="H10" t="s">
        <v>145</v>
      </c>
      <c r="I10" t="s">
        <v>146</v>
      </c>
      <c r="J10">
        <v>1</v>
      </c>
      <c r="K10">
        <f>Table5[[#This Row],[activated ratio]]*Table5[[#This Row],['# Count]]</f>
        <v>1572864</v>
      </c>
    </row>
    <row r="11" spans="7:11" x14ac:dyDescent="0.25">
      <c r="G11">
        <v>1572864</v>
      </c>
      <c r="H11" t="s">
        <v>147</v>
      </c>
      <c r="I11" t="s">
        <v>146</v>
      </c>
      <c r="J11">
        <v>1</v>
      </c>
      <c r="K11">
        <f>Table5[[#This Row],[activated ratio]]*Table5[[#This Row],['# Count]]</f>
        <v>1572864</v>
      </c>
    </row>
    <row r="12" spans="7:11" x14ac:dyDescent="0.25">
      <c r="G12">
        <v>1572864</v>
      </c>
      <c r="H12" t="s">
        <v>148</v>
      </c>
      <c r="I12" t="s">
        <v>146</v>
      </c>
      <c r="J12">
        <v>1</v>
      </c>
      <c r="K12">
        <f>Table5[[#This Row],[activated ratio]]*Table5[[#This Row],['# Count]]</f>
        <v>1572864</v>
      </c>
    </row>
    <row r="13" spans="7:11" x14ac:dyDescent="0.25">
      <c r="G13">
        <v>1572864</v>
      </c>
      <c r="H13" t="s">
        <v>149</v>
      </c>
      <c r="I13" t="s">
        <v>150</v>
      </c>
      <c r="J13">
        <v>1</v>
      </c>
      <c r="K13">
        <f>Table5[[#This Row],[activated ratio]]*Table5[[#This Row],['# Count]]</f>
        <v>1572864</v>
      </c>
    </row>
    <row r="14" spans="7:11" x14ac:dyDescent="0.25">
      <c r="G14">
        <v>768</v>
      </c>
      <c r="H14" t="s">
        <v>151</v>
      </c>
      <c r="I14" t="s">
        <v>144</v>
      </c>
      <c r="J14">
        <v>1</v>
      </c>
      <c r="K14">
        <f>Table5[[#This Row],[activated ratio]]*Table5[[#This Row],['# Count]]</f>
        <v>768</v>
      </c>
    </row>
    <row r="15" spans="7:11" x14ac:dyDescent="0.25">
      <c r="G15">
        <v>12288</v>
      </c>
      <c r="H15" t="s">
        <v>152</v>
      </c>
      <c r="I15" t="s">
        <v>153</v>
      </c>
      <c r="J15">
        <v>1</v>
      </c>
      <c r="K15">
        <f>Table5[[#This Row],[activated ratio]]*Table5[[#This Row],['# Count]]</f>
        <v>12288</v>
      </c>
    </row>
    <row r="16" spans="7:11" x14ac:dyDescent="0.25">
      <c r="G16" s="49">
        <v>147456</v>
      </c>
      <c r="H16" s="49" t="s">
        <v>236</v>
      </c>
      <c r="I16" s="49" t="s">
        <v>271</v>
      </c>
      <c r="J16" s="49">
        <v>1</v>
      </c>
      <c r="K16" s="49">
        <f>Table5[[#This Row],[activated ratio]]*Table5[[#This Row],['# Count]]</f>
        <v>147456</v>
      </c>
    </row>
    <row r="17" spans="7:11" x14ac:dyDescent="0.25">
      <c r="G17" s="47">
        <v>3145728</v>
      </c>
      <c r="H17" s="47" t="s">
        <v>154</v>
      </c>
      <c r="I17" s="47" t="s">
        <v>272</v>
      </c>
      <c r="J17" s="47">
        <v>0.125</v>
      </c>
      <c r="K17" s="47">
        <f>Table5[[#This Row],[activated ratio]]*Table5[[#This Row],['# Count]]</f>
        <v>393216</v>
      </c>
    </row>
    <row r="18" spans="7:11" x14ac:dyDescent="0.25">
      <c r="G18" s="47">
        <v>3145728</v>
      </c>
      <c r="H18" s="47" t="s">
        <v>156</v>
      </c>
      <c r="I18" s="47" t="s">
        <v>272</v>
      </c>
      <c r="J18" s="47">
        <v>0.125</v>
      </c>
      <c r="K18" s="47">
        <f>Table5[[#This Row],[activated ratio]]*Table5[[#This Row],['# Count]]</f>
        <v>393216</v>
      </c>
    </row>
    <row r="19" spans="7:11" x14ac:dyDescent="0.25">
      <c r="G19" s="47">
        <v>3145728</v>
      </c>
      <c r="H19" s="47" t="s">
        <v>157</v>
      </c>
      <c r="I19" s="47" t="s">
        <v>273</v>
      </c>
      <c r="J19" s="47">
        <v>0.125</v>
      </c>
      <c r="K19" s="47">
        <f>Table5[[#This Row],[activated ratio]]*Table5[[#This Row],['# Count]]</f>
        <v>393216</v>
      </c>
    </row>
    <row r="20" spans="7:11" x14ac:dyDescent="0.25">
      <c r="G20" s="49">
        <v>147456</v>
      </c>
      <c r="H20" s="49" t="s">
        <v>240</v>
      </c>
      <c r="I20" s="49" t="s">
        <v>274</v>
      </c>
      <c r="J20" s="49">
        <v>1</v>
      </c>
      <c r="K20" s="49">
        <f>Table5[[#This Row],[activated ratio]]*Table5[[#This Row],['# Count]]</f>
        <v>147456</v>
      </c>
    </row>
    <row r="21" spans="7:11" x14ac:dyDescent="0.25">
      <c r="G21">
        <v>768</v>
      </c>
      <c r="H21" t="s">
        <v>159</v>
      </c>
      <c r="I21" t="s">
        <v>144</v>
      </c>
      <c r="J21">
        <v>1</v>
      </c>
      <c r="K21">
        <f>Table5[[#This Row],[activated ratio]]*Table5[[#This Row],['# Count]]</f>
        <v>768</v>
      </c>
    </row>
    <row r="22" spans="7:11" x14ac:dyDescent="0.25">
      <c r="G22">
        <v>1572864</v>
      </c>
      <c r="H22" t="s">
        <v>160</v>
      </c>
      <c r="I22" t="s">
        <v>146</v>
      </c>
      <c r="J22">
        <v>1</v>
      </c>
      <c r="K22">
        <f>Table5[[#This Row],[activated ratio]]*Table5[[#This Row],['# Count]]</f>
        <v>1572864</v>
      </c>
    </row>
    <row r="23" spans="7:11" x14ac:dyDescent="0.25">
      <c r="G23">
        <v>1572864</v>
      </c>
      <c r="H23" t="s">
        <v>161</v>
      </c>
      <c r="I23" t="s">
        <v>146</v>
      </c>
      <c r="J23">
        <v>1</v>
      </c>
      <c r="K23">
        <f>Table5[[#This Row],[activated ratio]]*Table5[[#This Row],['# Count]]</f>
        <v>1572864</v>
      </c>
    </row>
    <row r="24" spans="7:11" x14ac:dyDescent="0.25">
      <c r="G24">
        <v>1572864</v>
      </c>
      <c r="H24" t="s">
        <v>162</v>
      </c>
      <c r="I24" t="s">
        <v>146</v>
      </c>
      <c r="J24">
        <v>1</v>
      </c>
      <c r="K24">
        <f>Table5[[#This Row],[activated ratio]]*Table5[[#This Row],['# Count]]</f>
        <v>1572864</v>
      </c>
    </row>
    <row r="25" spans="7:11" x14ac:dyDescent="0.25">
      <c r="G25">
        <v>1572864</v>
      </c>
      <c r="H25" t="s">
        <v>163</v>
      </c>
      <c r="I25" t="s">
        <v>150</v>
      </c>
      <c r="J25">
        <v>1</v>
      </c>
      <c r="K25">
        <f>Table5[[#This Row],[activated ratio]]*Table5[[#This Row],['# Count]]</f>
        <v>1572864</v>
      </c>
    </row>
    <row r="26" spans="7:11" x14ac:dyDescent="0.25">
      <c r="G26">
        <v>768</v>
      </c>
      <c r="H26" t="s">
        <v>164</v>
      </c>
      <c r="I26" t="s">
        <v>144</v>
      </c>
      <c r="J26">
        <v>1</v>
      </c>
      <c r="K26">
        <f>Table5[[#This Row],[activated ratio]]*Table5[[#This Row],['# Count]]</f>
        <v>768</v>
      </c>
    </row>
    <row r="27" spans="7:11" x14ac:dyDescent="0.25">
      <c r="G27">
        <v>12288</v>
      </c>
      <c r="H27" t="s">
        <v>165</v>
      </c>
      <c r="I27" t="s">
        <v>153</v>
      </c>
      <c r="J27">
        <v>1</v>
      </c>
      <c r="K27">
        <f>Table5[[#This Row],[activated ratio]]*Table5[[#This Row],['# Count]]</f>
        <v>12288</v>
      </c>
    </row>
    <row r="28" spans="7:11" x14ac:dyDescent="0.25">
      <c r="G28" s="49">
        <v>147456</v>
      </c>
      <c r="H28" s="49" t="s">
        <v>242</v>
      </c>
      <c r="I28" s="49" t="s">
        <v>271</v>
      </c>
      <c r="J28" s="49">
        <v>1</v>
      </c>
      <c r="K28" s="49">
        <f>Table5[[#This Row],[activated ratio]]*Table5[[#This Row],['# Count]]</f>
        <v>147456</v>
      </c>
    </row>
    <row r="29" spans="7:11" x14ac:dyDescent="0.25">
      <c r="G29" s="47">
        <v>3145728</v>
      </c>
      <c r="H29" s="47" t="s">
        <v>166</v>
      </c>
      <c r="I29" s="47" t="s">
        <v>272</v>
      </c>
      <c r="J29" s="47">
        <v>0.125</v>
      </c>
      <c r="K29" s="47">
        <f>Table5[[#This Row],[activated ratio]]*Table5[[#This Row],['# Count]]</f>
        <v>393216</v>
      </c>
    </row>
    <row r="30" spans="7:11" x14ac:dyDescent="0.25">
      <c r="G30" s="47">
        <v>3145728</v>
      </c>
      <c r="H30" s="47" t="s">
        <v>167</v>
      </c>
      <c r="I30" s="47" t="s">
        <v>272</v>
      </c>
      <c r="J30" s="47">
        <v>0.125</v>
      </c>
      <c r="K30" s="47">
        <f>Table5[[#This Row],[activated ratio]]*Table5[[#This Row],['# Count]]</f>
        <v>393216</v>
      </c>
    </row>
    <row r="31" spans="7:11" x14ac:dyDescent="0.25">
      <c r="G31" s="47">
        <v>3145728</v>
      </c>
      <c r="H31" s="47" t="s">
        <v>168</v>
      </c>
      <c r="I31" s="47" t="s">
        <v>273</v>
      </c>
      <c r="J31" s="47">
        <v>0.125</v>
      </c>
      <c r="K31" s="47">
        <f>Table5[[#This Row],[activated ratio]]*Table5[[#This Row],['# Count]]</f>
        <v>393216</v>
      </c>
    </row>
    <row r="32" spans="7:11" x14ac:dyDescent="0.25">
      <c r="G32" s="49">
        <v>147456</v>
      </c>
      <c r="H32" s="49" t="s">
        <v>243</v>
      </c>
      <c r="I32" s="49" t="s">
        <v>274</v>
      </c>
      <c r="J32" s="49">
        <v>1</v>
      </c>
      <c r="K32" s="49">
        <f>Table5[[#This Row],[activated ratio]]*Table5[[#This Row],['# Count]]</f>
        <v>147456</v>
      </c>
    </row>
    <row r="33" spans="7:11" x14ac:dyDescent="0.25">
      <c r="G33">
        <v>768</v>
      </c>
      <c r="H33" t="s">
        <v>169</v>
      </c>
      <c r="I33" t="s">
        <v>144</v>
      </c>
      <c r="J33">
        <v>1</v>
      </c>
      <c r="K33">
        <f>Table5[[#This Row],[activated ratio]]*Table5[[#This Row],['# Count]]</f>
        <v>768</v>
      </c>
    </row>
    <row r="34" spans="7:11" x14ac:dyDescent="0.25">
      <c r="G34">
        <v>1572864</v>
      </c>
      <c r="H34" t="s">
        <v>170</v>
      </c>
      <c r="I34" t="s">
        <v>146</v>
      </c>
      <c r="J34">
        <v>1</v>
      </c>
      <c r="K34">
        <f>Table5[[#This Row],[activated ratio]]*Table5[[#This Row],['# Count]]</f>
        <v>1572864</v>
      </c>
    </row>
    <row r="35" spans="7:11" x14ac:dyDescent="0.25">
      <c r="G35">
        <v>1572864</v>
      </c>
      <c r="H35" t="s">
        <v>171</v>
      </c>
      <c r="I35" t="s">
        <v>146</v>
      </c>
      <c r="J35">
        <v>1</v>
      </c>
      <c r="K35">
        <f>Table5[[#This Row],[activated ratio]]*Table5[[#This Row],['# Count]]</f>
        <v>1572864</v>
      </c>
    </row>
    <row r="36" spans="7:11" x14ac:dyDescent="0.25">
      <c r="G36">
        <v>1572864</v>
      </c>
      <c r="H36" t="s">
        <v>172</v>
      </c>
      <c r="I36" t="s">
        <v>146</v>
      </c>
      <c r="J36">
        <v>1</v>
      </c>
      <c r="K36">
        <f>Table5[[#This Row],[activated ratio]]*Table5[[#This Row],['# Count]]</f>
        <v>1572864</v>
      </c>
    </row>
    <row r="37" spans="7:11" x14ac:dyDescent="0.25">
      <c r="G37">
        <v>1572864</v>
      </c>
      <c r="H37" t="s">
        <v>173</v>
      </c>
      <c r="I37" t="s">
        <v>150</v>
      </c>
      <c r="J37">
        <v>1</v>
      </c>
      <c r="K37">
        <f>Table5[[#This Row],[activated ratio]]*Table5[[#This Row],['# Count]]</f>
        <v>1572864</v>
      </c>
    </row>
    <row r="38" spans="7:11" x14ac:dyDescent="0.25">
      <c r="G38">
        <v>768</v>
      </c>
      <c r="H38" t="s">
        <v>174</v>
      </c>
      <c r="I38" t="s">
        <v>144</v>
      </c>
      <c r="J38">
        <v>1</v>
      </c>
      <c r="K38">
        <f>Table5[[#This Row],[activated ratio]]*Table5[[#This Row],['# Count]]</f>
        <v>768</v>
      </c>
    </row>
    <row r="39" spans="7:11" x14ac:dyDescent="0.25">
      <c r="G39">
        <v>12288</v>
      </c>
      <c r="H39" t="s">
        <v>175</v>
      </c>
      <c r="I39" t="s">
        <v>153</v>
      </c>
      <c r="J39">
        <v>1</v>
      </c>
      <c r="K39">
        <f>Table5[[#This Row],[activated ratio]]*Table5[[#This Row],['# Count]]</f>
        <v>12288</v>
      </c>
    </row>
    <row r="40" spans="7:11" x14ac:dyDescent="0.25">
      <c r="G40" s="49">
        <v>147456</v>
      </c>
      <c r="H40" s="49" t="s">
        <v>244</v>
      </c>
      <c r="I40" s="49" t="s">
        <v>271</v>
      </c>
      <c r="J40" s="49">
        <v>1</v>
      </c>
      <c r="K40" s="49">
        <f>Table5[[#This Row],[activated ratio]]*Table5[[#This Row],['# Count]]</f>
        <v>147456</v>
      </c>
    </row>
    <row r="41" spans="7:11" x14ac:dyDescent="0.25">
      <c r="G41" s="47">
        <v>3145728</v>
      </c>
      <c r="H41" s="47" t="s">
        <v>176</v>
      </c>
      <c r="I41" s="47" t="s">
        <v>272</v>
      </c>
      <c r="J41" s="47">
        <v>0.125</v>
      </c>
      <c r="K41" s="47">
        <f>Table5[[#This Row],[activated ratio]]*Table5[[#This Row],['# Count]]</f>
        <v>393216</v>
      </c>
    </row>
    <row r="42" spans="7:11" x14ac:dyDescent="0.25">
      <c r="G42" s="47">
        <v>3145728</v>
      </c>
      <c r="H42" s="47" t="s">
        <v>177</v>
      </c>
      <c r="I42" s="47" t="s">
        <v>272</v>
      </c>
      <c r="J42" s="47">
        <v>0.125</v>
      </c>
      <c r="K42" s="47">
        <f>Table5[[#This Row],[activated ratio]]*Table5[[#This Row],['# Count]]</f>
        <v>393216</v>
      </c>
    </row>
    <row r="43" spans="7:11" x14ac:dyDescent="0.25">
      <c r="G43" s="47">
        <v>3145728</v>
      </c>
      <c r="H43" s="47" t="s">
        <v>178</v>
      </c>
      <c r="I43" s="47" t="s">
        <v>273</v>
      </c>
      <c r="J43" s="47">
        <v>0.125</v>
      </c>
      <c r="K43" s="47">
        <f>Table5[[#This Row],[activated ratio]]*Table5[[#This Row],['# Count]]</f>
        <v>393216</v>
      </c>
    </row>
    <row r="44" spans="7:11" x14ac:dyDescent="0.25">
      <c r="G44" s="49">
        <v>147456</v>
      </c>
      <c r="H44" s="49" t="s">
        <v>245</v>
      </c>
      <c r="I44" s="49" t="s">
        <v>274</v>
      </c>
      <c r="J44" s="49">
        <v>1</v>
      </c>
      <c r="K44" s="49">
        <f>Table5[[#This Row],[activated ratio]]*Table5[[#This Row],['# Count]]</f>
        <v>147456</v>
      </c>
    </row>
    <row r="45" spans="7:11" x14ac:dyDescent="0.25">
      <c r="G45">
        <v>768</v>
      </c>
      <c r="H45" t="s">
        <v>179</v>
      </c>
      <c r="I45" t="s">
        <v>144</v>
      </c>
      <c r="J45">
        <v>1</v>
      </c>
      <c r="K45">
        <f>Table5[[#This Row],[activated ratio]]*Table5[[#This Row],['# Count]]</f>
        <v>768</v>
      </c>
    </row>
    <row r="46" spans="7:11" x14ac:dyDescent="0.25">
      <c r="G46">
        <v>1572864</v>
      </c>
      <c r="H46" t="s">
        <v>180</v>
      </c>
      <c r="I46" t="s">
        <v>146</v>
      </c>
      <c r="J46">
        <v>1</v>
      </c>
      <c r="K46">
        <f>Table5[[#This Row],[activated ratio]]*Table5[[#This Row],['# Count]]</f>
        <v>1572864</v>
      </c>
    </row>
    <row r="47" spans="7:11" x14ac:dyDescent="0.25">
      <c r="G47">
        <v>1572864</v>
      </c>
      <c r="H47" t="s">
        <v>181</v>
      </c>
      <c r="I47" t="s">
        <v>146</v>
      </c>
      <c r="J47">
        <v>1</v>
      </c>
      <c r="K47">
        <f>Table5[[#This Row],[activated ratio]]*Table5[[#This Row],['# Count]]</f>
        <v>1572864</v>
      </c>
    </row>
    <row r="48" spans="7:11" x14ac:dyDescent="0.25">
      <c r="G48">
        <v>1572864</v>
      </c>
      <c r="H48" t="s">
        <v>182</v>
      </c>
      <c r="I48" t="s">
        <v>146</v>
      </c>
      <c r="J48">
        <v>1</v>
      </c>
      <c r="K48">
        <f>Table5[[#This Row],[activated ratio]]*Table5[[#This Row],['# Count]]</f>
        <v>1572864</v>
      </c>
    </row>
    <row r="49" spans="7:11" x14ac:dyDescent="0.25">
      <c r="G49">
        <v>1572864</v>
      </c>
      <c r="H49" t="s">
        <v>183</v>
      </c>
      <c r="I49" t="s">
        <v>150</v>
      </c>
      <c r="J49">
        <v>1</v>
      </c>
      <c r="K49">
        <f>Table5[[#This Row],[activated ratio]]*Table5[[#This Row],['# Count]]</f>
        <v>1572864</v>
      </c>
    </row>
    <row r="50" spans="7:11" x14ac:dyDescent="0.25">
      <c r="G50">
        <v>768</v>
      </c>
      <c r="H50" t="s">
        <v>184</v>
      </c>
      <c r="I50" t="s">
        <v>144</v>
      </c>
      <c r="J50">
        <v>1</v>
      </c>
      <c r="K50">
        <f>Table5[[#This Row],[activated ratio]]*Table5[[#This Row],['# Count]]</f>
        <v>768</v>
      </c>
    </row>
    <row r="51" spans="7:11" x14ac:dyDescent="0.25">
      <c r="G51">
        <v>12288</v>
      </c>
      <c r="H51" t="s">
        <v>185</v>
      </c>
      <c r="I51" t="s">
        <v>153</v>
      </c>
      <c r="J51">
        <v>1</v>
      </c>
      <c r="K51">
        <f>Table5[[#This Row],[activated ratio]]*Table5[[#This Row],['# Count]]</f>
        <v>12288</v>
      </c>
    </row>
    <row r="52" spans="7:11" x14ac:dyDescent="0.25">
      <c r="G52" s="49">
        <v>147456</v>
      </c>
      <c r="H52" s="49" t="s">
        <v>246</v>
      </c>
      <c r="I52" s="49" t="s">
        <v>271</v>
      </c>
      <c r="J52" s="49">
        <v>1</v>
      </c>
      <c r="K52" s="49">
        <f>Table5[[#This Row],[activated ratio]]*Table5[[#This Row],['# Count]]</f>
        <v>147456</v>
      </c>
    </row>
    <row r="53" spans="7:11" x14ac:dyDescent="0.25">
      <c r="G53" s="47">
        <v>3145728</v>
      </c>
      <c r="H53" s="47" t="s">
        <v>186</v>
      </c>
      <c r="I53" s="47" t="s">
        <v>272</v>
      </c>
      <c r="J53" s="47">
        <v>0.125</v>
      </c>
      <c r="K53" s="47">
        <f>Table5[[#This Row],[activated ratio]]*Table5[[#This Row],['# Count]]</f>
        <v>393216</v>
      </c>
    </row>
    <row r="54" spans="7:11" x14ac:dyDescent="0.25">
      <c r="G54" s="47">
        <v>3145728</v>
      </c>
      <c r="H54" s="47" t="s">
        <v>187</v>
      </c>
      <c r="I54" s="47" t="s">
        <v>272</v>
      </c>
      <c r="J54" s="47">
        <v>0.125</v>
      </c>
      <c r="K54" s="47">
        <f>Table5[[#This Row],[activated ratio]]*Table5[[#This Row],['# Count]]</f>
        <v>393216</v>
      </c>
    </row>
    <row r="55" spans="7:11" x14ac:dyDescent="0.25">
      <c r="G55" s="47">
        <v>3145728</v>
      </c>
      <c r="H55" s="47" t="s">
        <v>188</v>
      </c>
      <c r="I55" s="47" t="s">
        <v>273</v>
      </c>
      <c r="J55" s="47">
        <v>0.125</v>
      </c>
      <c r="K55" s="47">
        <f>Table5[[#This Row],[activated ratio]]*Table5[[#This Row],['# Count]]</f>
        <v>393216</v>
      </c>
    </row>
    <row r="56" spans="7:11" x14ac:dyDescent="0.25">
      <c r="G56" s="49">
        <v>147456</v>
      </c>
      <c r="H56" s="49" t="s">
        <v>247</v>
      </c>
      <c r="I56" s="49" t="s">
        <v>274</v>
      </c>
      <c r="J56" s="49">
        <v>1</v>
      </c>
      <c r="K56" s="49">
        <f>Table5[[#This Row],[activated ratio]]*Table5[[#This Row],['# Count]]</f>
        <v>147456</v>
      </c>
    </row>
    <row r="57" spans="7:11" x14ac:dyDescent="0.25">
      <c r="G57">
        <v>768</v>
      </c>
      <c r="H57" t="s">
        <v>189</v>
      </c>
      <c r="I57" t="s">
        <v>144</v>
      </c>
      <c r="J57">
        <v>1</v>
      </c>
      <c r="K57">
        <f>Table5[[#This Row],[activated ratio]]*Table5[[#This Row],['# Count]]</f>
        <v>768</v>
      </c>
    </row>
    <row r="58" spans="7:11" x14ac:dyDescent="0.25">
      <c r="G58">
        <v>1572864</v>
      </c>
      <c r="H58" t="s">
        <v>190</v>
      </c>
      <c r="I58" t="s">
        <v>146</v>
      </c>
      <c r="J58">
        <v>1</v>
      </c>
      <c r="K58">
        <f>Table5[[#This Row],[activated ratio]]*Table5[[#This Row],['# Count]]</f>
        <v>1572864</v>
      </c>
    </row>
    <row r="59" spans="7:11" x14ac:dyDescent="0.25">
      <c r="G59">
        <v>1572864</v>
      </c>
      <c r="H59" t="s">
        <v>191</v>
      </c>
      <c r="I59" t="s">
        <v>146</v>
      </c>
      <c r="J59">
        <v>1</v>
      </c>
      <c r="K59">
        <f>Table5[[#This Row],[activated ratio]]*Table5[[#This Row],['# Count]]</f>
        <v>1572864</v>
      </c>
    </row>
    <row r="60" spans="7:11" x14ac:dyDescent="0.25">
      <c r="G60">
        <v>1572864</v>
      </c>
      <c r="H60" t="s">
        <v>192</v>
      </c>
      <c r="I60" t="s">
        <v>146</v>
      </c>
      <c r="J60">
        <v>1</v>
      </c>
      <c r="K60">
        <f>Table5[[#This Row],[activated ratio]]*Table5[[#This Row],['# Count]]</f>
        <v>1572864</v>
      </c>
    </row>
    <row r="61" spans="7:11" x14ac:dyDescent="0.25">
      <c r="G61">
        <v>1572864</v>
      </c>
      <c r="H61" t="s">
        <v>193</v>
      </c>
      <c r="I61" t="s">
        <v>150</v>
      </c>
      <c r="J61">
        <v>1</v>
      </c>
      <c r="K61">
        <f>Table5[[#This Row],[activated ratio]]*Table5[[#This Row],['# Count]]</f>
        <v>1572864</v>
      </c>
    </row>
    <row r="62" spans="7:11" x14ac:dyDescent="0.25">
      <c r="G62">
        <v>768</v>
      </c>
      <c r="H62" t="s">
        <v>194</v>
      </c>
      <c r="I62" t="s">
        <v>144</v>
      </c>
      <c r="J62">
        <v>1</v>
      </c>
      <c r="K62">
        <f>Table5[[#This Row],[activated ratio]]*Table5[[#This Row],['# Count]]</f>
        <v>768</v>
      </c>
    </row>
    <row r="63" spans="7:11" x14ac:dyDescent="0.25">
      <c r="G63">
        <v>12288</v>
      </c>
      <c r="H63" t="s">
        <v>195</v>
      </c>
      <c r="I63" t="s">
        <v>153</v>
      </c>
      <c r="J63">
        <v>1</v>
      </c>
      <c r="K63">
        <f>Table5[[#This Row],[activated ratio]]*Table5[[#This Row],['# Count]]</f>
        <v>12288</v>
      </c>
    </row>
    <row r="64" spans="7:11" x14ac:dyDescent="0.25">
      <c r="G64" s="49">
        <v>147456</v>
      </c>
      <c r="H64" s="49" t="s">
        <v>248</v>
      </c>
      <c r="I64" s="49" t="s">
        <v>271</v>
      </c>
      <c r="J64" s="49">
        <v>1</v>
      </c>
      <c r="K64" s="49">
        <f>Table5[[#This Row],[activated ratio]]*Table5[[#This Row],['# Count]]</f>
        <v>147456</v>
      </c>
    </row>
    <row r="65" spans="7:11" x14ac:dyDescent="0.25">
      <c r="G65" s="47">
        <v>3145728</v>
      </c>
      <c r="H65" s="47" t="s">
        <v>196</v>
      </c>
      <c r="I65" s="47" t="s">
        <v>272</v>
      </c>
      <c r="J65" s="47">
        <v>0.125</v>
      </c>
      <c r="K65" s="47">
        <f>Table5[[#This Row],[activated ratio]]*Table5[[#This Row],['# Count]]</f>
        <v>393216</v>
      </c>
    </row>
    <row r="66" spans="7:11" x14ac:dyDescent="0.25">
      <c r="G66" s="47">
        <v>3145728</v>
      </c>
      <c r="H66" s="47" t="s">
        <v>197</v>
      </c>
      <c r="I66" s="47" t="s">
        <v>272</v>
      </c>
      <c r="J66" s="47">
        <v>0.125</v>
      </c>
      <c r="K66" s="47">
        <f>Table5[[#This Row],[activated ratio]]*Table5[[#This Row],['# Count]]</f>
        <v>393216</v>
      </c>
    </row>
    <row r="67" spans="7:11" x14ac:dyDescent="0.25">
      <c r="G67" s="47">
        <v>3145728</v>
      </c>
      <c r="H67" s="47" t="s">
        <v>198</v>
      </c>
      <c r="I67" s="47" t="s">
        <v>273</v>
      </c>
      <c r="J67" s="47">
        <v>0.125</v>
      </c>
      <c r="K67" s="47">
        <f>Table5[[#This Row],[activated ratio]]*Table5[[#This Row],['# Count]]</f>
        <v>393216</v>
      </c>
    </row>
    <row r="68" spans="7:11" x14ac:dyDescent="0.25">
      <c r="G68" s="49">
        <v>147456</v>
      </c>
      <c r="H68" s="49" t="s">
        <v>249</v>
      </c>
      <c r="I68" s="49" t="s">
        <v>274</v>
      </c>
      <c r="J68" s="49">
        <v>1</v>
      </c>
      <c r="K68" s="49">
        <f>Table5[[#This Row],[activated ratio]]*Table5[[#This Row],['# Count]]</f>
        <v>147456</v>
      </c>
    </row>
    <row r="69" spans="7:11" x14ac:dyDescent="0.25">
      <c r="G69">
        <v>768</v>
      </c>
      <c r="H69" t="s">
        <v>199</v>
      </c>
      <c r="I69" t="s">
        <v>144</v>
      </c>
      <c r="J69">
        <v>1</v>
      </c>
      <c r="K69">
        <f>Table5[[#This Row],[activated ratio]]*Table5[[#This Row],['# Count]]</f>
        <v>768</v>
      </c>
    </row>
    <row r="70" spans="7:11" x14ac:dyDescent="0.25">
      <c r="G70">
        <v>1572864</v>
      </c>
      <c r="H70" t="s">
        <v>200</v>
      </c>
      <c r="I70" t="s">
        <v>146</v>
      </c>
      <c r="J70">
        <v>1</v>
      </c>
      <c r="K70">
        <f>Table5[[#This Row],[activated ratio]]*Table5[[#This Row],['# Count]]</f>
        <v>1572864</v>
      </c>
    </row>
    <row r="71" spans="7:11" x14ac:dyDescent="0.25">
      <c r="G71">
        <v>1572864</v>
      </c>
      <c r="H71" t="s">
        <v>201</v>
      </c>
      <c r="I71" t="s">
        <v>146</v>
      </c>
      <c r="J71">
        <v>1</v>
      </c>
      <c r="K71">
        <f>Table5[[#This Row],[activated ratio]]*Table5[[#This Row],['# Count]]</f>
        <v>1572864</v>
      </c>
    </row>
    <row r="72" spans="7:11" x14ac:dyDescent="0.25">
      <c r="G72">
        <v>1572864</v>
      </c>
      <c r="H72" t="s">
        <v>202</v>
      </c>
      <c r="I72" t="s">
        <v>146</v>
      </c>
      <c r="J72">
        <v>1</v>
      </c>
      <c r="K72">
        <f>Table5[[#This Row],[activated ratio]]*Table5[[#This Row],['# Count]]</f>
        <v>1572864</v>
      </c>
    </row>
    <row r="73" spans="7:11" x14ac:dyDescent="0.25">
      <c r="G73">
        <v>1572864</v>
      </c>
      <c r="H73" t="s">
        <v>203</v>
      </c>
      <c r="I73" t="s">
        <v>150</v>
      </c>
      <c r="J73">
        <v>1</v>
      </c>
      <c r="K73">
        <f>Table5[[#This Row],[activated ratio]]*Table5[[#This Row],['# Count]]</f>
        <v>1572864</v>
      </c>
    </row>
    <row r="74" spans="7:11" x14ac:dyDescent="0.25">
      <c r="G74">
        <v>768</v>
      </c>
      <c r="H74" t="s">
        <v>204</v>
      </c>
      <c r="I74" t="s">
        <v>144</v>
      </c>
      <c r="J74">
        <v>1</v>
      </c>
      <c r="K74">
        <f>Table5[[#This Row],[activated ratio]]*Table5[[#This Row],['# Count]]</f>
        <v>768</v>
      </c>
    </row>
    <row r="75" spans="7:11" x14ac:dyDescent="0.25">
      <c r="G75">
        <v>12288</v>
      </c>
      <c r="H75" t="s">
        <v>205</v>
      </c>
      <c r="I75" t="s">
        <v>153</v>
      </c>
      <c r="J75">
        <v>1</v>
      </c>
      <c r="K75">
        <f>Table5[[#This Row],[activated ratio]]*Table5[[#This Row],['# Count]]</f>
        <v>12288</v>
      </c>
    </row>
    <row r="76" spans="7:11" x14ac:dyDescent="0.25">
      <c r="G76" s="49">
        <v>147456</v>
      </c>
      <c r="H76" s="49" t="s">
        <v>250</v>
      </c>
      <c r="I76" s="49" t="s">
        <v>271</v>
      </c>
      <c r="J76" s="49">
        <v>1</v>
      </c>
      <c r="K76" s="49">
        <f>Table5[[#This Row],[activated ratio]]*Table5[[#This Row],['# Count]]</f>
        <v>147456</v>
      </c>
    </row>
    <row r="77" spans="7:11" x14ac:dyDescent="0.25">
      <c r="G77" s="47">
        <v>3145728</v>
      </c>
      <c r="H77" s="47" t="s">
        <v>206</v>
      </c>
      <c r="I77" s="47" t="s">
        <v>272</v>
      </c>
      <c r="J77" s="47">
        <v>0.125</v>
      </c>
      <c r="K77" s="47">
        <f>Table5[[#This Row],[activated ratio]]*Table5[[#This Row],['# Count]]</f>
        <v>393216</v>
      </c>
    </row>
    <row r="78" spans="7:11" x14ac:dyDescent="0.25">
      <c r="G78" s="47">
        <v>3145728</v>
      </c>
      <c r="H78" s="47" t="s">
        <v>207</v>
      </c>
      <c r="I78" s="47" t="s">
        <v>272</v>
      </c>
      <c r="J78" s="47">
        <v>0.125</v>
      </c>
      <c r="K78" s="47">
        <f>Table5[[#This Row],[activated ratio]]*Table5[[#This Row],['# Count]]</f>
        <v>393216</v>
      </c>
    </row>
    <row r="79" spans="7:11" x14ac:dyDescent="0.25">
      <c r="G79" s="47">
        <v>3145728</v>
      </c>
      <c r="H79" s="47" t="s">
        <v>208</v>
      </c>
      <c r="I79" s="47" t="s">
        <v>273</v>
      </c>
      <c r="J79" s="47">
        <v>0.125</v>
      </c>
      <c r="K79" s="47">
        <f>Table5[[#This Row],[activated ratio]]*Table5[[#This Row],['# Count]]</f>
        <v>393216</v>
      </c>
    </row>
    <row r="80" spans="7:11" x14ac:dyDescent="0.25">
      <c r="G80" s="49">
        <v>147456</v>
      </c>
      <c r="H80" s="49" t="s">
        <v>251</v>
      </c>
      <c r="I80" s="49" t="s">
        <v>274</v>
      </c>
      <c r="J80" s="49">
        <v>1</v>
      </c>
      <c r="K80" s="49">
        <f>Table5[[#This Row],[activated ratio]]*Table5[[#This Row],['# Count]]</f>
        <v>147456</v>
      </c>
    </row>
    <row r="81" spans="7:11" x14ac:dyDescent="0.25">
      <c r="G81">
        <v>768</v>
      </c>
      <c r="H81" t="s">
        <v>209</v>
      </c>
      <c r="I81" t="s">
        <v>144</v>
      </c>
      <c r="J81">
        <v>1</v>
      </c>
      <c r="K81">
        <f>Table5[[#This Row],[activated ratio]]*Table5[[#This Row],['# Count]]</f>
        <v>768</v>
      </c>
    </row>
    <row r="82" spans="7:11" x14ac:dyDescent="0.25">
      <c r="G82">
        <v>1572864</v>
      </c>
      <c r="H82" t="s">
        <v>210</v>
      </c>
      <c r="I82" t="s">
        <v>146</v>
      </c>
      <c r="J82">
        <v>1</v>
      </c>
      <c r="K82">
        <f>Table5[[#This Row],[activated ratio]]*Table5[[#This Row],['# Count]]</f>
        <v>1572864</v>
      </c>
    </row>
    <row r="83" spans="7:11" x14ac:dyDescent="0.25">
      <c r="G83">
        <v>1572864</v>
      </c>
      <c r="H83" t="s">
        <v>211</v>
      </c>
      <c r="I83" t="s">
        <v>146</v>
      </c>
      <c r="J83">
        <v>1</v>
      </c>
      <c r="K83">
        <f>Table5[[#This Row],[activated ratio]]*Table5[[#This Row],['# Count]]</f>
        <v>1572864</v>
      </c>
    </row>
    <row r="84" spans="7:11" x14ac:dyDescent="0.25">
      <c r="G84">
        <v>1572864</v>
      </c>
      <c r="H84" t="s">
        <v>212</v>
      </c>
      <c r="I84" t="s">
        <v>146</v>
      </c>
      <c r="J84">
        <v>1</v>
      </c>
      <c r="K84">
        <f>Table5[[#This Row],[activated ratio]]*Table5[[#This Row],['# Count]]</f>
        <v>1572864</v>
      </c>
    </row>
    <row r="85" spans="7:11" x14ac:dyDescent="0.25">
      <c r="G85">
        <v>1572864</v>
      </c>
      <c r="H85" t="s">
        <v>213</v>
      </c>
      <c r="I85" t="s">
        <v>150</v>
      </c>
      <c r="J85">
        <v>1</v>
      </c>
      <c r="K85">
        <f>Table5[[#This Row],[activated ratio]]*Table5[[#This Row],['# Count]]</f>
        <v>1572864</v>
      </c>
    </row>
    <row r="86" spans="7:11" x14ac:dyDescent="0.25">
      <c r="G86">
        <v>768</v>
      </c>
      <c r="H86" t="s">
        <v>214</v>
      </c>
      <c r="I86" t="s">
        <v>144</v>
      </c>
      <c r="J86">
        <v>1</v>
      </c>
      <c r="K86">
        <f>Table5[[#This Row],[activated ratio]]*Table5[[#This Row],['# Count]]</f>
        <v>768</v>
      </c>
    </row>
    <row r="87" spans="7:11" x14ac:dyDescent="0.25">
      <c r="G87">
        <v>12288</v>
      </c>
      <c r="H87" t="s">
        <v>215</v>
      </c>
      <c r="I87" t="s">
        <v>153</v>
      </c>
      <c r="J87">
        <v>1</v>
      </c>
      <c r="K87">
        <f>Table5[[#This Row],[activated ratio]]*Table5[[#This Row],['# Count]]</f>
        <v>12288</v>
      </c>
    </row>
    <row r="88" spans="7:11" x14ac:dyDescent="0.25">
      <c r="G88" s="49">
        <v>147456</v>
      </c>
      <c r="H88" s="49" t="s">
        <v>252</v>
      </c>
      <c r="I88" s="49" t="s">
        <v>271</v>
      </c>
      <c r="J88" s="49">
        <v>1</v>
      </c>
      <c r="K88" s="49">
        <f>Table5[[#This Row],[activated ratio]]*Table5[[#This Row],['# Count]]</f>
        <v>147456</v>
      </c>
    </row>
    <row r="89" spans="7:11" x14ac:dyDescent="0.25">
      <c r="G89" s="47">
        <v>3145728</v>
      </c>
      <c r="H89" s="47" t="s">
        <v>216</v>
      </c>
      <c r="I89" s="47" t="s">
        <v>272</v>
      </c>
      <c r="J89" s="47">
        <v>0.125</v>
      </c>
      <c r="K89" s="47">
        <f>Table5[[#This Row],[activated ratio]]*Table5[[#This Row],['# Count]]</f>
        <v>393216</v>
      </c>
    </row>
    <row r="90" spans="7:11" x14ac:dyDescent="0.25">
      <c r="G90" s="47">
        <v>3145728</v>
      </c>
      <c r="H90" s="47" t="s">
        <v>217</v>
      </c>
      <c r="I90" s="47" t="s">
        <v>272</v>
      </c>
      <c r="J90" s="47">
        <v>0.125</v>
      </c>
      <c r="K90" s="47">
        <f>Table5[[#This Row],[activated ratio]]*Table5[[#This Row],['# Count]]</f>
        <v>393216</v>
      </c>
    </row>
    <row r="91" spans="7:11" x14ac:dyDescent="0.25">
      <c r="G91" s="47">
        <v>3145728</v>
      </c>
      <c r="H91" s="47" t="s">
        <v>218</v>
      </c>
      <c r="I91" s="47" t="s">
        <v>273</v>
      </c>
      <c r="J91" s="47">
        <v>0.125</v>
      </c>
      <c r="K91" s="47">
        <f>Table5[[#This Row],[activated ratio]]*Table5[[#This Row],['# Count]]</f>
        <v>393216</v>
      </c>
    </row>
    <row r="92" spans="7:11" x14ac:dyDescent="0.25">
      <c r="G92" s="49">
        <v>147456</v>
      </c>
      <c r="H92" s="49" t="s">
        <v>253</v>
      </c>
      <c r="I92" s="49" t="s">
        <v>274</v>
      </c>
      <c r="J92" s="49">
        <v>1</v>
      </c>
      <c r="K92" s="49">
        <f>Table5[[#This Row],[activated ratio]]*Table5[[#This Row],['# Count]]</f>
        <v>147456</v>
      </c>
    </row>
    <row r="93" spans="7:11" x14ac:dyDescent="0.25">
      <c r="G93">
        <v>768</v>
      </c>
      <c r="H93" t="s">
        <v>219</v>
      </c>
      <c r="I93" t="s">
        <v>144</v>
      </c>
      <c r="J93">
        <v>1</v>
      </c>
      <c r="K93">
        <f>Table5[[#This Row],[activated ratio]]*Table5[[#This Row],['# Count]]</f>
        <v>768</v>
      </c>
    </row>
    <row r="94" spans="7:11" x14ac:dyDescent="0.25">
      <c r="G94">
        <v>1572864</v>
      </c>
      <c r="H94" t="s">
        <v>220</v>
      </c>
      <c r="I94" t="s">
        <v>146</v>
      </c>
      <c r="J94">
        <v>1</v>
      </c>
      <c r="K94">
        <f>Table5[[#This Row],[activated ratio]]*Table5[[#This Row],['# Count]]</f>
        <v>1572864</v>
      </c>
    </row>
    <row r="95" spans="7:11" x14ac:dyDescent="0.25">
      <c r="G95">
        <v>1572864</v>
      </c>
      <c r="H95" t="s">
        <v>221</v>
      </c>
      <c r="I95" t="s">
        <v>146</v>
      </c>
      <c r="J95">
        <v>1</v>
      </c>
      <c r="K95">
        <f>Table5[[#This Row],[activated ratio]]*Table5[[#This Row],['# Count]]</f>
        <v>1572864</v>
      </c>
    </row>
    <row r="96" spans="7:11" x14ac:dyDescent="0.25">
      <c r="G96">
        <v>1572864</v>
      </c>
      <c r="H96" t="s">
        <v>222</v>
      </c>
      <c r="I96" t="s">
        <v>146</v>
      </c>
      <c r="J96">
        <v>1</v>
      </c>
      <c r="K96">
        <f>Table5[[#This Row],[activated ratio]]*Table5[[#This Row],['# Count]]</f>
        <v>1572864</v>
      </c>
    </row>
    <row r="97" spans="7:11" x14ac:dyDescent="0.25">
      <c r="G97">
        <v>1572864</v>
      </c>
      <c r="H97" t="s">
        <v>223</v>
      </c>
      <c r="I97" t="s">
        <v>150</v>
      </c>
      <c r="J97">
        <v>1</v>
      </c>
      <c r="K97">
        <f>Table5[[#This Row],[activated ratio]]*Table5[[#This Row],['# Count]]</f>
        <v>1572864</v>
      </c>
    </row>
    <row r="98" spans="7:11" x14ac:dyDescent="0.25">
      <c r="G98">
        <v>768</v>
      </c>
      <c r="H98" t="s">
        <v>224</v>
      </c>
      <c r="I98" t="s">
        <v>144</v>
      </c>
      <c r="J98">
        <v>1</v>
      </c>
      <c r="K98">
        <f>Table5[[#This Row],[activated ratio]]*Table5[[#This Row],['# Count]]</f>
        <v>768</v>
      </c>
    </row>
    <row r="99" spans="7:11" x14ac:dyDescent="0.25">
      <c r="G99">
        <v>12288</v>
      </c>
      <c r="H99" t="s">
        <v>225</v>
      </c>
      <c r="I99" t="s">
        <v>153</v>
      </c>
      <c r="J99">
        <v>1</v>
      </c>
      <c r="K99">
        <f>Table5[[#This Row],[activated ratio]]*Table5[[#This Row],['# Count]]</f>
        <v>12288</v>
      </c>
    </row>
    <row r="100" spans="7:11" x14ac:dyDescent="0.25">
      <c r="G100" s="49">
        <v>147456</v>
      </c>
      <c r="H100" s="49" t="s">
        <v>254</v>
      </c>
      <c r="I100" s="49" t="s">
        <v>271</v>
      </c>
      <c r="J100" s="49">
        <v>1</v>
      </c>
      <c r="K100" s="49">
        <f>Table5[[#This Row],[activated ratio]]*Table5[[#This Row],['# Count]]</f>
        <v>147456</v>
      </c>
    </row>
    <row r="101" spans="7:11" x14ac:dyDescent="0.25">
      <c r="G101" s="47">
        <v>3145728</v>
      </c>
      <c r="H101" s="47" t="s">
        <v>226</v>
      </c>
      <c r="I101" s="47" t="s">
        <v>272</v>
      </c>
      <c r="J101" s="47">
        <v>0.125</v>
      </c>
      <c r="K101" s="47">
        <f>Table5[[#This Row],[activated ratio]]*Table5[[#This Row],['# Count]]</f>
        <v>393216</v>
      </c>
    </row>
    <row r="102" spans="7:11" x14ac:dyDescent="0.25">
      <c r="G102" s="47">
        <v>3145728</v>
      </c>
      <c r="H102" s="47" t="s">
        <v>227</v>
      </c>
      <c r="I102" s="47" t="s">
        <v>272</v>
      </c>
      <c r="J102" s="47">
        <v>0.125</v>
      </c>
      <c r="K102" s="47">
        <f>Table5[[#This Row],[activated ratio]]*Table5[[#This Row],['# Count]]</f>
        <v>393216</v>
      </c>
    </row>
    <row r="103" spans="7:11" x14ac:dyDescent="0.25">
      <c r="G103" s="47">
        <v>3145728</v>
      </c>
      <c r="H103" s="47" t="s">
        <v>228</v>
      </c>
      <c r="I103" s="47" t="s">
        <v>273</v>
      </c>
      <c r="J103" s="47">
        <v>0.125</v>
      </c>
      <c r="K103" s="47">
        <f>Table5[[#This Row],[activated ratio]]*Table5[[#This Row],['# Count]]</f>
        <v>393216</v>
      </c>
    </row>
    <row r="104" spans="7:11" x14ac:dyDescent="0.25">
      <c r="G104" s="49">
        <v>147456</v>
      </c>
      <c r="H104" s="49" t="s">
        <v>255</v>
      </c>
      <c r="I104" s="49" t="s">
        <v>274</v>
      </c>
      <c r="J104" s="49">
        <v>1</v>
      </c>
      <c r="K104" s="49">
        <f>Table5[[#This Row],[activated ratio]]*Table5[[#This Row],['# Count]]</f>
        <v>147456</v>
      </c>
    </row>
    <row r="105" spans="7:11" x14ac:dyDescent="0.25">
      <c r="G105">
        <v>768</v>
      </c>
      <c r="H105" t="s">
        <v>229</v>
      </c>
      <c r="I105" t="s">
        <v>144</v>
      </c>
      <c r="J105">
        <v>1</v>
      </c>
      <c r="K105">
        <f>Table5[[#This Row],[activated ratio]]*Table5[[#This Row],['# Count]]</f>
        <v>768</v>
      </c>
    </row>
    <row r="106" spans="7:11" x14ac:dyDescent="0.25">
      <c r="G106">
        <v>24576000</v>
      </c>
      <c r="H106" t="s">
        <v>230</v>
      </c>
      <c r="I106" t="s">
        <v>142</v>
      </c>
      <c r="J106">
        <v>1</v>
      </c>
      <c r="K106">
        <f>Table5[[#This Row],[activated ratio]]*Table5[[#This Row],['# Count]]</f>
        <v>24576000</v>
      </c>
    </row>
    <row r="107" spans="7:11" x14ac:dyDescent="0.25">
      <c r="G107">
        <f>SUBTOTAL(109,Table5['# Count])</f>
        <v>177451776</v>
      </c>
      <c r="K107">
        <f>SUBTOTAL(109,Table5[activated])</f>
        <v>111391488</v>
      </c>
    </row>
    <row r="110" spans="7:11" x14ac:dyDescent="0.25">
      <c r="J110" t="s">
        <v>263</v>
      </c>
      <c r="K110" s="42">
        <v>2359296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E292C-78B6-47B4-A0FD-2FB28F2FC385}">
  <dimension ref="E3:I110"/>
  <sheetViews>
    <sheetView workbookViewId="0">
      <selection activeCell="H5" sqref="H3:H5"/>
    </sheetView>
  </sheetViews>
  <sheetFormatPr defaultRowHeight="15" x14ac:dyDescent="0.25"/>
  <cols>
    <col min="5" max="5" width="12.42578125" bestFit="1" customWidth="1"/>
    <col min="6" max="6" width="40" bestFit="1" customWidth="1"/>
    <col min="7" max="7" width="16.140625" bestFit="1" customWidth="1"/>
    <col min="8" max="8" width="16.140625" customWidth="1"/>
    <col min="9" max="9" width="14.140625" customWidth="1"/>
  </cols>
  <sheetData>
    <row r="3" spans="5:9" x14ac:dyDescent="0.25">
      <c r="H3" t="s">
        <v>256</v>
      </c>
    </row>
    <row r="4" spans="5:9" x14ac:dyDescent="0.25">
      <c r="H4" t="s">
        <v>257</v>
      </c>
    </row>
    <row r="5" spans="5:9" x14ac:dyDescent="0.25">
      <c r="H5" t="s">
        <v>281</v>
      </c>
    </row>
    <row r="8" spans="5:9" x14ac:dyDescent="0.25">
      <c r="E8" t="s">
        <v>138</v>
      </c>
      <c r="F8" t="s">
        <v>139</v>
      </c>
      <c r="G8" t="s">
        <v>140</v>
      </c>
      <c r="H8" t="s">
        <v>233</v>
      </c>
      <c r="I8" t="s">
        <v>235</v>
      </c>
    </row>
    <row r="9" spans="5:9" x14ac:dyDescent="0.25">
      <c r="E9">
        <v>24576000</v>
      </c>
      <c r="F9" t="s">
        <v>141</v>
      </c>
      <c r="G9" t="s">
        <v>142</v>
      </c>
      <c r="H9">
        <v>1</v>
      </c>
      <c r="I9">
        <f>Table6[[#This Row],['# Count]]*Table6[[#This Row],[activated ratio]]</f>
        <v>24576000</v>
      </c>
    </row>
    <row r="10" spans="5:9" x14ac:dyDescent="0.25">
      <c r="E10">
        <v>768</v>
      </c>
      <c r="F10" t="s">
        <v>143</v>
      </c>
      <c r="G10" t="s">
        <v>144</v>
      </c>
      <c r="H10">
        <v>1</v>
      </c>
      <c r="I10">
        <f>Table6[[#This Row],['# Count]]*Table6[[#This Row],[activated ratio]]</f>
        <v>768</v>
      </c>
    </row>
    <row r="11" spans="5:9" x14ac:dyDescent="0.25">
      <c r="E11">
        <v>1572864</v>
      </c>
      <c r="F11" t="s">
        <v>145</v>
      </c>
      <c r="G11" t="s">
        <v>146</v>
      </c>
      <c r="H11">
        <v>1</v>
      </c>
      <c r="I11">
        <f>Table6[[#This Row],['# Count]]*Table6[[#This Row],[activated ratio]]</f>
        <v>1572864</v>
      </c>
    </row>
    <row r="12" spans="5:9" x14ac:dyDescent="0.25">
      <c r="E12">
        <v>1572864</v>
      </c>
      <c r="F12" t="s">
        <v>147</v>
      </c>
      <c r="G12" t="s">
        <v>146</v>
      </c>
      <c r="H12">
        <v>1</v>
      </c>
      <c r="I12">
        <f>Table6[[#This Row],['# Count]]*Table6[[#This Row],[activated ratio]]</f>
        <v>1572864</v>
      </c>
    </row>
    <row r="13" spans="5:9" x14ac:dyDescent="0.25">
      <c r="E13">
        <v>1572864</v>
      </c>
      <c r="F13" t="s">
        <v>148</v>
      </c>
      <c r="G13" t="s">
        <v>146</v>
      </c>
      <c r="H13">
        <v>1</v>
      </c>
      <c r="I13">
        <f>Table6[[#This Row],['# Count]]*Table6[[#This Row],[activated ratio]]</f>
        <v>1572864</v>
      </c>
    </row>
    <row r="14" spans="5:9" x14ac:dyDescent="0.25">
      <c r="E14">
        <v>1572864</v>
      </c>
      <c r="F14" t="s">
        <v>149</v>
      </c>
      <c r="G14" t="s">
        <v>150</v>
      </c>
      <c r="H14">
        <v>1</v>
      </c>
      <c r="I14">
        <f>Table6[[#This Row],['# Count]]*Table6[[#This Row],[activated ratio]]</f>
        <v>1572864</v>
      </c>
    </row>
    <row r="15" spans="5:9" x14ac:dyDescent="0.25">
      <c r="E15">
        <v>768</v>
      </c>
      <c r="F15" t="s">
        <v>151</v>
      </c>
      <c r="G15" t="s">
        <v>144</v>
      </c>
      <c r="H15">
        <v>1</v>
      </c>
      <c r="I15">
        <f>Table6[[#This Row],['# Count]]*Table6[[#This Row],[activated ratio]]</f>
        <v>768</v>
      </c>
    </row>
    <row r="16" spans="5:9" x14ac:dyDescent="0.25">
      <c r="E16">
        <v>12288</v>
      </c>
      <c r="F16" t="s">
        <v>152</v>
      </c>
      <c r="G16" t="s">
        <v>153</v>
      </c>
      <c r="H16">
        <v>1</v>
      </c>
      <c r="I16">
        <f>Table6[[#This Row],['# Count]]*Table6[[#This Row],[activated ratio]]</f>
        <v>12288</v>
      </c>
    </row>
    <row r="17" spans="5:9" x14ac:dyDescent="0.25">
      <c r="E17" s="49">
        <v>98304</v>
      </c>
      <c r="F17" s="49" t="s">
        <v>236</v>
      </c>
      <c r="G17" s="49" t="s">
        <v>277</v>
      </c>
      <c r="H17" s="49">
        <v>1</v>
      </c>
      <c r="I17" s="49">
        <f>Table6[[#This Row],['# Count]]*Table6[[#This Row],[activated ratio]]</f>
        <v>98304</v>
      </c>
    </row>
    <row r="18" spans="5:9" x14ac:dyDescent="0.25">
      <c r="E18" s="47">
        <v>2097152</v>
      </c>
      <c r="F18" s="47" t="s">
        <v>154</v>
      </c>
      <c r="G18" s="47" t="s">
        <v>278</v>
      </c>
      <c r="H18" s="47">
        <v>0.125</v>
      </c>
      <c r="I18" s="47">
        <f>Table6[[#This Row],['# Count]]*Table6[[#This Row],[activated ratio]]</f>
        <v>262144</v>
      </c>
    </row>
    <row r="19" spans="5:9" x14ac:dyDescent="0.25">
      <c r="E19" s="47">
        <v>2097152</v>
      </c>
      <c r="F19" s="47" t="s">
        <v>156</v>
      </c>
      <c r="G19" s="47" t="s">
        <v>278</v>
      </c>
      <c r="H19" s="47">
        <v>0.125</v>
      </c>
      <c r="I19" s="47">
        <f>Table6[[#This Row],['# Count]]*Table6[[#This Row],[activated ratio]]</f>
        <v>262144</v>
      </c>
    </row>
    <row r="20" spans="5:9" x14ac:dyDescent="0.25">
      <c r="E20" s="47">
        <v>2097152</v>
      </c>
      <c r="F20" s="47" t="s">
        <v>157</v>
      </c>
      <c r="G20" s="47" t="s">
        <v>279</v>
      </c>
      <c r="H20" s="47">
        <v>0.125</v>
      </c>
      <c r="I20" s="47">
        <f>Table6[[#This Row],['# Count]]*Table6[[#This Row],[activated ratio]]</f>
        <v>262144</v>
      </c>
    </row>
    <row r="21" spans="5:9" x14ac:dyDescent="0.25">
      <c r="E21" s="49">
        <v>98304</v>
      </c>
      <c r="F21" s="49" t="s">
        <v>240</v>
      </c>
      <c r="G21" s="49" t="s">
        <v>280</v>
      </c>
      <c r="H21" s="49">
        <v>1</v>
      </c>
      <c r="I21" s="49">
        <f>Table6[[#This Row],['# Count]]*Table6[[#This Row],[activated ratio]]</f>
        <v>98304</v>
      </c>
    </row>
    <row r="22" spans="5:9" x14ac:dyDescent="0.25">
      <c r="E22">
        <v>768</v>
      </c>
      <c r="F22" t="s">
        <v>159</v>
      </c>
      <c r="G22" t="s">
        <v>144</v>
      </c>
      <c r="H22">
        <v>1</v>
      </c>
      <c r="I22">
        <f>Table6[[#This Row],['# Count]]*Table6[[#This Row],[activated ratio]]</f>
        <v>768</v>
      </c>
    </row>
    <row r="23" spans="5:9" x14ac:dyDescent="0.25">
      <c r="E23">
        <v>1572864</v>
      </c>
      <c r="F23" t="s">
        <v>160</v>
      </c>
      <c r="G23" t="s">
        <v>146</v>
      </c>
      <c r="H23">
        <v>1</v>
      </c>
      <c r="I23">
        <f>Table6[[#This Row],['# Count]]*Table6[[#This Row],[activated ratio]]</f>
        <v>1572864</v>
      </c>
    </row>
    <row r="24" spans="5:9" x14ac:dyDescent="0.25">
      <c r="E24">
        <v>1572864</v>
      </c>
      <c r="F24" t="s">
        <v>161</v>
      </c>
      <c r="G24" t="s">
        <v>146</v>
      </c>
      <c r="H24">
        <v>1</v>
      </c>
      <c r="I24">
        <f>Table6[[#This Row],['# Count]]*Table6[[#This Row],[activated ratio]]</f>
        <v>1572864</v>
      </c>
    </row>
    <row r="25" spans="5:9" x14ac:dyDescent="0.25">
      <c r="E25">
        <v>1572864</v>
      </c>
      <c r="F25" t="s">
        <v>162</v>
      </c>
      <c r="G25" t="s">
        <v>146</v>
      </c>
      <c r="H25">
        <v>1</v>
      </c>
      <c r="I25">
        <f>Table6[[#This Row],['# Count]]*Table6[[#This Row],[activated ratio]]</f>
        <v>1572864</v>
      </c>
    </row>
    <row r="26" spans="5:9" x14ac:dyDescent="0.25">
      <c r="E26">
        <v>1572864</v>
      </c>
      <c r="F26" t="s">
        <v>163</v>
      </c>
      <c r="G26" t="s">
        <v>150</v>
      </c>
      <c r="H26">
        <v>1</v>
      </c>
      <c r="I26">
        <f>Table6[[#This Row],['# Count]]*Table6[[#This Row],[activated ratio]]</f>
        <v>1572864</v>
      </c>
    </row>
    <row r="27" spans="5:9" x14ac:dyDescent="0.25">
      <c r="E27">
        <v>768</v>
      </c>
      <c r="F27" t="s">
        <v>164</v>
      </c>
      <c r="G27" t="s">
        <v>144</v>
      </c>
      <c r="H27">
        <v>1</v>
      </c>
      <c r="I27">
        <f>Table6[[#This Row],['# Count]]*Table6[[#This Row],[activated ratio]]</f>
        <v>768</v>
      </c>
    </row>
    <row r="28" spans="5:9" x14ac:dyDescent="0.25">
      <c r="E28">
        <v>12288</v>
      </c>
      <c r="F28" t="s">
        <v>165</v>
      </c>
      <c r="G28" t="s">
        <v>153</v>
      </c>
      <c r="H28">
        <v>1</v>
      </c>
      <c r="I28">
        <f>Table6[[#This Row],['# Count]]*Table6[[#This Row],[activated ratio]]</f>
        <v>12288</v>
      </c>
    </row>
    <row r="29" spans="5:9" x14ac:dyDescent="0.25">
      <c r="E29" s="49">
        <v>98304</v>
      </c>
      <c r="F29" s="49" t="s">
        <v>242</v>
      </c>
      <c r="G29" s="49" t="s">
        <v>277</v>
      </c>
      <c r="H29" s="49">
        <v>1</v>
      </c>
      <c r="I29" s="49">
        <f>Table6[[#This Row],['# Count]]*Table6[[#This Row],[activated ratio]]</f>
        <v>98304</v>
      </c>
    </row>
    <row r="30" spans="5:9" x14ac:dyDescent="0.25">
      <c r="E30" s="47">
        <v>2097152</v>
      </c>
      <c r="F30" s="47" t="s">
        <v>166</v>
      </c>
      <c r="G30" s="47" t="s">
        <v>278</v>
      </c>
      <c r="H30" s="47">
        <v>0.125</v>
      </c>
      <c r="I30" s="47">
        <f>Table6[[#This Row],['# Count]]*Table6[[#This Row],[activated ratio]]</f>
        <v>262144</v>
      </c>
    </row>
    <row r="31" spans="5:9" x14ac:dyDescent="0.25">
      <c r="E31" s="47">
        <v>2097152</v>
      </c>
      <c r="F31" s="47" t="s">
        <v>167</v>
      </c>
      <c r="G31" s="47" t="s">
        <v>278</v>
      </c>
      <c r="H31" s="47">
        <v>0.125</v>
      </c>
      <c r="I31" s="47">
        <f>Table6[[#This Row],['# Count]]*Table6[[#This Row],[activated ratio]]</f>
        <v>262144</v>
      </c>
    </row>
    <row r="32" spans="5:9" x14ac:dyDescent="0.25">
      <c r="E32" s="47">
        <v>2097152</v>
      </c>
      <c r="F32" s="47" t="s">
        <v>168</v>
      </c>
      <c r="G32" s="47" t="s">
        <v>279</v>
      </c>
      <c r="H32" s="47">
        <v>0.125</v>
      </c>
      <c r="I32" s="47">
        <f>Table6[[#This Row],['# Count]]*Table6[[#This Row],[activated ratio]]</f>
        <v>262144</v>
      </c>
    </row>
    <row r="33" spans="5:9" x14ac:dyDescent="0.25">
      <c r="E33" s="49">
        <v>98304</v>
      </c>
      <c r="F33" s="49" t="s">
        <v>243</v>
      </c>
      <c r="G33" s="49" t="s">
        <v>280</v>
      </c>
      <c r="H33" s="49">
        <v>1</v>
      </c>
      <c r="I33" s="49">
        <f>Table6[[#This Row],['# Count]]*Table6[[#This Row],[activated ratio]]</f>
        <v>98304</v>
      </c>
    </row>
    <row r="34" spans="5:9" x14ac:dyDescent="0.25">
      <c r="E34">
        <v>768</v>
      </c>
      <c r="F34" t="s">
        <v>169</v>
      </c>
      <c r="G34" t="s">
        <v>144</v>
      </c>
      <c r="H34">
        <v>1</v>
      </c>
      <c r="I34">
        <f>Table6[[#This Row],['# Count]]*Table6[[#This Row],[activated ratio]]</f>
        <v>768</v>
      </c>
    </row>
    <row r="35" spans="5:9" x14ac:dyDescent="0.25">
      <c r="E35">
        <v>1572864</v>
      </c>
      <c r="F35" t="s">
        <v>170</v>
      </c>
      <c r="G35" t="s">
        <v>146</v>
      </c>
      <c r="H35">
        <v>1</v>
      </c>
      <c r="I35">
        <f>Table6[[#This Row],['# Count]]*Table6[[#This Row],[activated ratio]]</f>
        <v>1572864</v>
      </c>
    </row>
    <row r="36" spans="5:9" x14ac:dyDescent="0.25">
      <c r="E36">
        <v>1572864</v>
      </c>
      <c r="F36" t="s">
        <v>171</v>
      </c>
      <c r="G36" t="s">
        <v>146</v>
      </c>
      <c r="H36">
        <v>1</v>
      </c>
      <c r="I36">
        <f>Table6[[#This Row],['# Count]]*Table6[[#This Row],[activated ratio]]</f>
        <v>1572864</v>
      </c>
    </row>
    <row r="37" spans="5:9" x14ac:dyDescent="0.25">
      <c r="E37">
        <v>1572864</v>
      </c>
      <c r="F37" t="s">
        <v>172</v>
      </c>
      <c r="G37" t="s">
        <v>146</v>
      </c>
      <c r="H37">
        <v>1</v>
      </c>
      <c r="I37">
        <f>Table6[[#This Row],['# Count]]*Table6[[#This Row],[activated ratio]]</f>
        <v>1572864</v>
      </c>
    </row>
    <row r="38" spans="5:9" x14ac:dyDescent="0.25">
      <c r="E38">
        <v>1572864</v>
      </c>
      <c r="F38" t="s">
        <v>173</v>
      </c>
      <c r="G38" t="s">
        <v>150</v>
      </c>
      <c r="H38">
        <v>1</v>
      </c>
      <c r="I38">
        <f>Table6[[#This Row],['# Count]]*Table6[[#This Row],[activated ratio]]</f>
        <v>1572864</v>
      </c>
    </row>
    <row r="39" spans="5:9" x14ac:dyDescent="0.25">
      <c r="E39">
        <v>768</v>
      </c>
      <c r="F39" t="s">
        <v>174</v>
      </c>
      <c r="G39" t="s">
        <v>144</v>
      </c>
      <c r="H39">
        <v>1</v>
      </c>
      <c r="I39">
        <f>Table6[[#This Row],['# Count]]*Table6[[#This Row],[activated ratio]]</f>
        <v>768</v>
      </c>
    </row>
    <row r="40" spans="5:9" x14ac:dyDescent="0.25">
      <c r="E40">
        <v>12288</v>
      </c>
      <c r="F40" t="s">
        <v>175</v>
      </c>
      <c r="G40" t="s">
        <v>153</v>
      </c>
      <c r="H40">
        <v>1</v>
      </c>
      <c r="I40">
        <f>Table6[[#This Row],['# Count]]*Table6[[#This Row],[activated ratio]]</f>
        <v>12288</v>
      </c>
    </row>
    <row r="41" spans="5:9" x14ac:dyDescent="0.25">
      <c r="E41" s="49">
        <v>98304</v>
      </c>
      <c r="F41" s="49" t="s">
        <v>244</v>
      </c>
      <c r="G41" s="49" t="s">
        <v>277</v>
      </c>
      <c r="H41" s="49">
        <v>1</v>
      </c>
      <c r="I41" s="49">
        <f>Table6[[#This Row],['# Count]]*Table6[[#This Row],[activated ratio]]</f>
        <v>98304</v>
      </c>
    </row>
    <row r="42" spans="5:9" x14ac:dyDescent="0.25">
      <c r="E42" s="47">
        <v>2097152</v>
      </c>
      <c r="F42" s="47" t="s">
        <v>176</v>
      </c>
      <c r="G42" s="47" t="s">
        <v>278</v>
      </c>
      <c r="H42" s="47">
        <v>0.125</v>
      </c>
      <c r="I42" s="47">
        <f>Table6[[#This Row],['# Count]]*Table6[[#This Row],[activated ratio]]</f>
        <v>262144</v>
      </c>
    </row>
    <row r="43" spans="5:9" x14ac:dyDescent="0.25">
      <c r="E43" s="47">
        <v>2097152</v>
      </c>
      <c r="F43" s="47" t="s">
        <v>177</v>
      </c>
      <c r="G43" s="47" t="s">
        <v>278</v>
      </c>
      <c r="H43" s="47">
        <v>0.125</v>
      </c>
      <c r="I43" s="47">
        <f>Table6[[#This Row],['# Count]]*Table6[[#This Row],[activated ratio]]</f>
        <v>262144</v>
      </c>
    </row>
    <row r="44" spans="5:9" x14ac:dyDescent="0.25">
      <c r="E44" s="47">
        <v>2097152</v>
      </c>
      <c r="F44" s="47" t="s">
        <v>178</v>
      </c>
      <c r="G44" s="47" t="s">
        <v>279</v>
      </c>
      <c r="H44" s="47">
        <v>0.125</v>
      </c>
      <c r="I44" s="47">
        <f>Table6[[#This Row],['# Count]]*Table6[[#This Row],[activated ratio]]</f>
        <v>262144</v>
      </c>
    </row>
    <row r="45" spans="5:9" x14ac:dyDescent="0.25">
      <c r="E45" s="49">
        <v>98304</v>
      </c>
      <c r="F45" s="49" t="s">
        <v>245</v>
      </c>
      <c r="G45" s="49" t="s">
        <v>280</v>
      </c>
      <c r="H45" s="49">
        <v>1</v>
      </c>
      <c r="I45" s="49">
        <f>Table6[[#This Row],['# Count]]*Table6[[#This Row],[activated ratio]]</f>
        <v>98304</v>
      </c>
    </row>
    <row r="46" spans="5:9" x14ac:dyDescent="0.25">
      <c r="E46">
        <v>768</v>
      </c>
      <c r="F46" t="s">
        <v>179</v>
      </c>
      <c r="G46" t="s">
        <v>144</v>
      </c>
      <c r="H46">
        <v>1</v>
      </c>
      <c r="I46">
        <f>Table6[[#This Row],['# Count]]*Table6[[#This Row],[activated ratio]]</f>
        <v>768</v>
      </c>
    </row>
    <row r="47" spans="5:9" x14ac:dyDescent="0.25">
      <c r="E47">
        <v>1572864</v>
      </c>
      <c r="F47" t="s">
        <v>180</v>
      </c>
      <c r="G47" t="s">
        <v>146</v>
      </c>
      <c r="H47">
        <v>1</v>
      </c>
      <c r="I47">
        <f>Table6[[#This Row],['# Count]]*Table6[[#This Row],[activated ratio]]</f>
        <v>1572864</v>
      </c>
    </row>
    <row r="48" spans="5:9" x14ac:dyDescent="0.25">
      <c r="E48">
        <v>1572864</v>
      </c>
      <c r="F48" t="s">
        <v>181</v>
      </c>
      <c r="G48" t="s">
        <v>146</v>
      </c>
      <c r="H48">
        <v>1</v>
      </c>
      <c r="I48">
        <f>Table6[[#This Row],['# Count]]*Table6[[#This Row],[activated ratio]]</f>
        <v>1572864</v>
      </c>
    </row>
    <row r="49" spans="5:9" x14ac:dyDescent="0.25">
      <c r="E49">
        <v>1572864</v>
      </c>
      <c r="F49" t="s">
        <v>182</v>
      </c>
      <c r="G49" t="s">
        <v>146</v>
      </c>
      <c r="H49">
        <v>1</v>
      </c>
      <c r="I49">
        <f>Table6[[#This Row],['# Count]]*Table6[[#This Row],[activated ratio]]</f>
        <v>1572864</v>
      </c>
    </row>
    <row r="50" spans="5:9" x14ac:dyDescent="0.25">
      <c r="E50">
        <v>1572864</v>
      </c>
      <c r="F50" t="s">
        <v>183</v>
      </c>
      <c r="G50" t="s">
        <v>150</v>
      </c>
      <c r="H50">
        <v>1</v>
      </c>
      <c r="I50">
        <f>Table6[[#This Row],['# Count]]*Table6[[#This Row],[activated ratio]]</f>
        <v>1572864</v>
      </c>
    </row>
    <row r="51" spans="5:9" x14ac:dyDescent="0.25">
      <c r="E51">
        <v>768</v>
      </c>
      <c r="F51" t="s">
        <v>184</v>
      </c>
      <c r="G51" t="s">
        <v>144</v>
      </c>
      <c r="H51">
        <v>1</v>
      </c>
      <c r="I51">
        <f>Table6[[#This Row],['# Count]]*Table6[[#This Row],[activated ratio]]</f>
        <v>768</v>
      </c>
    </row>
    <row r="52" spans="5:9" x14ac:dyDescent="0.25">
      <c r="E52">
        <v>12288</v>
      </c>
      <c r="F52" t="s">
        <v>185</v>
      </c>
      <c r="G52" t="s">
        <v>153</v>
      </c>
      <c r="H52">
        <v>1</v>
      </c>
      <c r="I52">
        <f>Table6[[#This Row],['# Count]]*Table6[[#This Row],[activated ratio]]</f>
        <v>12288</v>
      </c>
    </row>
    <row r="53" spans="5:9" x14ac:dyDescent="0.25">
      <c r="E53" s="49">
        <v>98304</v>
      </c>
      <c r="F53" s="49" t="s">
        <v>246</v>
      </c>
      <c r="G53" s="49" t="s">
        <v>277</v>
      </c>
      <c r="H53" s="49">
        <v>1</v>
      </c>
      <c r="I53" s="49">
        <f>Table6[[#This Row],['# Count]]*Table6[[#This Row],[activated ratio]]</f>
        <v>98304</v>
      </c>
    </row>
    <row r="54" spans="5:9" x14ac:dyDescent="0.25">
      <c r="E54" s="47">
        <v>2097152</v>
      </c>
      <c r="F54" s="47" t="s">
        <v>186</v>
      </c>
      <c r="G54" s="47" t="s">
        <v>278</v>
      </c>
      <c r="H54" s="47">
        <v>0.125</v>
      </c>
      <c r="I54" s="47">
        <f>Table6[[#This Row],['# Count]]*Table6[[#This Row],[activated ratio]]</f>
        <v>262144</v>
      </c>
    </row>
    <row r="55" spans="5:9" x14ac:dyDescent="0.25">
      <c r="E55" s="47">
        <v>2097152</v>
      </c>
      <c r="F55" s="47" t="s">
        <v>187</v>
      </c>
      <c r="G55" s="47" t="s">
        <v>278</v>
      </c>
      <c r="H55" s="47">
        <v>0.125</v>
      </c>
      <c r="I55" s="47">
        <f>Table6[[#This Row],['# Count]]*Table6[[#This Row],[activated ratio]]</f>
        <v>262144</v>
      </c>
    </row>
    <row r="56" spans="5:9" x14ac:dyDescent="0.25">
      <c r="E56" s="47">
        <v>2097152</v>
      </c>
      <c r="F56" s="47" t="s">
        <v>188</v>
      </c>
      <c r="G56" s="47" t="s">
        <v>279</v>
      </c>
      <c r="H56" s="47">
        <v>0.125</v>
      </c>
      <c r="I56" s="47">
        <f>Table6[[#This Row],['# Count]]*Table6[[#This Row],[activated ratio]]</f>
        <v>262144</v>
      </c>
    </row>
    <row r="57" spans="5:9" x14ac:dyDescent="0.25">
      <c r="E57" s="49">
        <v>98304</v>
      </c>
      <c r="F57" s="49" t="s">
        <v>247</v>
      </c>
      <c r="G57" s="49" t="s">
        <v>280</v>
      </c>
      <c r="H57" s="49">
        <v>1</v>
      </c>
      <c r="I57" s="49">
        <f>Table6[[#This Row],['# Count]]*Table6[[#This Row],[activated ratio]]</f>
        <v>98304</v>
      </c>
    </row>
    <row r="58" spans="5:9" x14ac:dyDescent="0.25">
      <c r="E58">
        <v>768</v>
      </c>
      <c r="F58" t="s">
        <v>189</v>
      </c>
      <c r="G58" t="s">
        <v>144</v>
      </c>
      <c r="H58">
        <v>1</v>
      </c>
      <c r="I58">
        <f>Table6[[#This Row],['# Count]]*Table6[[#This Row],[activated ratio]]</f>
        <v>768</v>
      </c>
    </row>
    <row r="59" spans="5:9" x14ac:dyDescent="0.25">
      <c r="E59">
        <v>1572864</v>
      </c>
      <c r="F59" t="s">
        <v>190</v>
      </c>
      <c r="G59" t="s">
        <v>146</v>
      </c>
      <c r="H59">
        <v>1</v>
      </c>
      <c r="I59">
        <f>Table6[[#This Row],['# Count]]*Table6[[#This Row],[activated ratio]]</f>
        <v>1572864</v>
      </c>
    </row>
    <row r="60" spans="5:9" x14ac:dyDescent="0.25">
      <c r="E60">
        <v>1572864</v>
      </c>
      <c r="F60" t="s">
        <v>191</v>
      </c>
      <c r="G60" t="s">
        <v>146</v>
      </c>
      <c r="H60">
        <v>1</v>
      </c>
      <c r="I60">
        <f>Table6[[#This Row],['# Count]]*Table6[[#This Row],[activated ratio]]</f>
        <v>1572864</v>
      </c>
    </row>
    <row r="61" spans="5:9" x14ac:dyDescent="0.25">
      <c r="E61">
        <v>1572864</v>
      </c>
      <c r="F61" t="s">
        <v>192</v>
      </c>
      <c r="G61" t="s">
        <v>146</v>
      </c>
      <c r="H61">
        <v>1</v>
      </c>
      <c r="I61">
        <f>Table6[[#This Row],['# Count]]*Table6[[#This Row],[activated ratio]]</f>
        <v>1572864</v>
      </c>
    </row>
    <row r="62" spans="5:9" x14ac:dyDescent="0.25">
      <c r="E62">
        <v>1572864</v>
      </c>
      <c r="F62" t="s">
        <v>193</v>
      </c>
      <c r="G62" t="s">
        <v>150</v>
      </c>
      <c r="H62">
        <v>1</v>
      </c>
      <c r="I62">
        <f>Table6[[#This Row],['# Count]]*Table6[[#This Row],[activated ratio]]</f>
        <v>1572864</v>
      </c>
    </row>
    <row r="63" spans="5:9" x14ac:dyDescent="0.25">
      <c r="E63">
        <v>768</v>
      </c>
      <c r="F63" t="s">
        <v>194</v>
      </c>
      <c r="G63" t="s">
        <v>144</v>
      </c>
      <c r="H63">
        <v>1</v>
      </c>
      <c r="I63">
        <f>Table6[[#This Row],['# Count]]*Table6[[#This Row],[activated ratio]]</f>
        <v>768</v>
      </c>
    </row>
    <row r="64" spans="5:9" x14ac:dyDescent="0.25">
      <c r="E64">
        <v>12288</v>
      </c>
      <c r="F64" t="s">
        <v>195</v>
      </c>
      <c r="G64" t="s">
        <v>153</v>
      </c>
      <c r="H64">
        <v>1</v>
      </c>
      <c r="I64">
        <f>Table6[[#This Row],['# Count]]*Table6[[#This Row],[activated ratio]]</f>
        <v>12288</v>
      </c>
    </row>
    <row r="65" spans="5:9" x14ac:dyDescent="0.25">
      <c r="E65" s="49">
        <v>98304</v>
      </c>
      <c r="F65" s="49" t="s">
        <v>248</v>
      </c>
      <c r="G65" s="49" t="s">
        <v>277</v>
      </c>
      <c r="H65" s="49">
        <v>1</v>
      </c>
      <c r="I65" s="49">
        <f>Table6[[#This Row],['# Count]]*Table6[[#This Row],[activated ratio]]</f>
        <v>98304</v>
      </c>
    </row>
    <row r="66" spans="5:9" x14ac:dyDescent="0.25">
      <c r="E66" s="47">
        <v>2097152</v>
      </c>
      <c r="F66" s="47" t="s">
        <v>196</v>
      </c>
      <c r="G66" s="47" t="s">
        <v>278</v>
      </c>
      <c r="H66" s="47">
        <v>0.125</v>
      </c>
      <c r="I66" s="47">
        <f>Table6[[#This Row],['# Count]]*Table6[[#This Row],[activated ratio]]</f>
        <v>262144</v>
      </c>
    </row>
    <row r="67" spans="5:9" x14ac:dyDescent="0.25">
      <c r="E67" s="47">
        <v>2097152</v>
      </c>
      <c r="F67" s="47" t="s">
        <v>197</v>
      </c>
      <c r="G67" s="47" t="s">
        <v>278</v>
      </c>
      <c r="H67" s="47">
        <v>0.125</v>
      </c>
      <c r="I67" s="47">
        <f>Table6[[#This Row],['# Count]]*Table6[[#This Row],[activated ratio]]</f>
        <v>262144</v>
      </c>
    </row>
    <row r="68" spans="5:9" x14ac:dyDescent="0.25">
      <c r="E68" s="47">
        <v>2097152</v>
      </c>
      <c r="F68" s="47" t="s">
        <v>198</v>
      </c>
      <c r="G68" s="47" t="s">
        <v>279</v>
      </c>
      <c r="H68" s="47">
        <v>0.125</v>
      </c>
      <c r="I68" s="47">
        <f>Table6[[#This Row],['# Count]]*Table6[[#This Row],[activated ratio]]</f>
        <v>262144</v>
      </c>
    </row>
    <row r="69" spans="5:9" x14ac:dyDescent="0.25">
      <c r="E69" s="49">
        <v>98304</v>
      </c>
      <c r="F69" s="49" t="s">
        <v>249</v>
      </c>
      <c r="G69" s="49" t="s">
        <v>280</v>
      </c>
      <c r="H69" s="49">
        <v>1</v>
      </c>
      <c r="I69" s="49">
        <f>Table6[[#This Row],['# Count]]*Table6[[#This Row],[activated ratio]]</f>
        <v>98304</v>
      </c>
    </row>
    <row r="70" spans="5:9" x14ac:dyDescent="0.25">
      <c r="E70">
        <v>768</v>
      </c>
      <c r="F70" t="s">
        <v>199</v>
      </c>
      <c r="G70" t="s">
        <v>144</v>
      </c>
      <c r="H70">
        <v>1</v>
      </c>
      <c r="I70">
        <f>Table6[[#This Row],['# Count]]*Table6[[#This Row],[activated ratio]]</f>
        <v>768</v>
      </c>
    </row>
    <row r="71" spans="5:9" x14ac:dyDescent="0.25">
      <c r="E71">
        <v>1572864</v>
      </c>
      <c r="F71" t="s">
        <v>200</v>
      </c>
      <c r="G71" t="s">
        <v>146</v>
      </c>
      <c r="H71">
        <v>1</v>
      </c>
      <c r="I71">
        <f>Table6[[#This Row],['# Count]]*Table6[[#This Row],[activated ratio]]</f>
        <v>1572864</v>
      </c>
    </row>
    <row r="72" spans="5:9" x14ac:dyDescent="0.25">
      <c r="E72">
        <v>1572864</v>
      </c>
      <c r="F72" t="s">
        <v>201</v>
      </c>
      <c r="G72" t="s">
        <v>146</v>
      </c>
      <c r="H72">
        <v>1</v>
      </c>
      <c r="I72">
        <f>Table6[[#This Row],['# Count]]*Table6[[#This Row],[activated ratio]]</f>
        <v>1572864</v>
      </c>
    </row>
    <row r="73" spans="5:9" x14ac:dyDescent="0.25">
      <c r="E73">
        <v>1572864</v>
      </c>
      <c r="F73" t="s">
        <v>202</v>
      </c>
      <c r="G73" t="s">
        <v>146</v>
      </c>
      <c r="H73">
        <v>1</v>
      </c>
      <c r="I73">
        <f>Table6[[#This Row],['# Count]]*Table6[[#This Row],[activated ratio]]</f>
        <v>1572864</v>
      </c>
    </row>
    <row r="74" spans="5:9" x14ac:dyDescent="0.25">
      <c r="E74">
        <v>1572864</v>
      </c>
      <c r="F74" t="s">
        <v>203</v>
      </c>
      <c r="G74" t="s">
        <v>150</v>
      </c>
      <c r="H74">
        <v>1</v>
      </c>
      <c r="I74">
        <f>Table6[[#This Row],['# Count]]*Table6[[#This Row],[activated ratio]]</f>
        <v>1572864</v>
      </c>
    </row>
    <row r="75" spans="5:9" x14ac:dyDescent="0.25">
      <c r="E75">
        <v>768</v>
      </c>
      <c r="F75" t="s">
        <v>204</v>
      </c>
      <c r="G75" t="s">
        <v>144</v>
      </c>
      <c r="H75">
        <v>1</v>
      </c>
      <c r="I75">
        <f>Table6[[#This Row],['# Count]]*Table6[[#This Row],[activated ratio]]</f>
        <v>768</v>
      </c>
    </row>
    <row r="76" spans="5:9" x14ac:dyDescent="0.25">
      <c r="E76">
        <v>12288</v>
      </c>
      <c r="F76" t="s">
        <v>205</v>
      </c>
      <c r="G76" t="s">
        <v>153</v>
      </c>
      <c r="H76">
        <v>1</v>
      </c>
      <c r="I76">
        <f>Table6[[#This Row],['# Count]]*Table6[[#This Row],[activated ratio]]</f>
        <v>12288</v>
      </c>
    </row>
    <row r="77" spans="5:9" x14ac:dyDescent="0.25">
      <c r="E77" s="49">
        <v>98304</v>
      </c>
      <c r="F77" s="49" t="s">
        <v>250</v>
      </c>
      <c r="G77" s="49" t="s">
        <v>277</v>
      </c>
      <c r="H77" s="49">
        <v>1</v>
      </c>
      <c r="I77" s="49">
        <f>Table6[[#This Row],['# Count]]*Table6[[#This Row],[activated ratio]]</f>
        <v>98304</v>
      </c>
    </row>
    <row r="78" spans="5:9" x14ac:dyDescent="0.25">
      <c r="E78" s="47">
        <v>2097152</v>
      </c>
      <c r="F78" s="47" t="s">
        <v>206</v>
      </c>
      <c r="G78" s="47" t="s">
        <v>278</v>
      </c>
      <c r="H78" s="47">
        <v>0.125</v>
      </c>
      <c r="I78" s="47">
        <f>Table6[[#This Row],['# Count]]*Table6[[#This Row],[activated ratio]]</f>
        <v>262144</v>
      </c>
    </row>
    <row r="79" spans="5:9" x14ac:dyDescent="0.25">
      <c r="E79" s="47">
        <v>2097152</v>
      </c>
      <c r="F79" s="47" t="s">
        <v>207</v>
      </c>
      <c r="G79" s="47" t="s">
        <v>278</v>
      </c>
      <c r="H79" s="47">
        <v>0.125</v>
      </c>
      <c r="I79" s="47">
        <f>Table6[[#This Row],['# Count]]*Table6[[#This Row],[activated ratio]]</f>
        <v>262144</v>
      </c>
    </row>
    <row r="80" spans="5:9" x14ac:dyDescent="0.25">
      <c r="E80" s="47">
        <v>2097152</v>
      </c>
      <c r="F80" s="47" t="s">
        <v>208</v>
      </c>
      <c r="G80" s="47" t="s">
        <v>279</v>
      </c>
      <c r="H80" s="47">
        <v>0.125</v>
      </c>
      <c r="I80" s="47">
        <f>Table6[[#This Row],['# Count]]*Table6[[#This Row],[activated ratio]]</f>
        <v>262144</v>
      </c>
    </row>
    <row r="81" spans="5:9" x14ac:dyDescent="0.25">
      <c r="E81" s="49">
        <v>98304</v>
      </c>
      <c r="F81" s="49" t="s">
        <v>251</v>
      </c>
      <c r="G81" s="49" t="s">
        <v>280</v>
      </c>
      <c r="H81" s="49">
        <v>1</v>
      </c>
      <c r="I81" s="49">
        <f>Table6[[#This Row],['# Count]]*Table6[[#This Row],[activated ratio]]</f>
        <v>98304</v>
      </c>
    </row>
    <row r="82" spans="5:9" x14ac:dyDescent="0.25">
      <c r="E82">
        <v>768</v>
      </c>
      <c r="F82" t="s">
        <v>209</v>
      </c>
      <c r="G82" t="s">
        <v>144</v>
      </c>
      <c r="H82">
        <v>1</v>
      </c>
      <c r="I82">
        <f>Table6[[#This Row],['# Count]]*Table6[[#This Row],[activated ratio]]</f>
        <v>768</v>
      </c>
    </row>
    <row r="83" spans="5:9" x14ac:dyDescent="0.25">
      <c r="E83">
        <v>1572864</v>
      </c>
      <c r="F83" t="s">
        <v>210</v>
      </c>
      <c r="G83" t="s">
        <v>146</v>
      </c>
      <c r="H83">
        <v>1</v>
      </c>
      <c r="I83">
        <f>Table6[[#This Row],['# Count]]*Table6[[#This Row],[activated ratio]]</f>
        <v>1572864</v>
      </c>
    </row>
    <row r="84" spans="5:9" x14ac:dyDescent="0.25">
      <c r="E84">
        <v>1572864</v>
      </c>
      <c r="F84" t="s">
        <v>211</v>
      </c>
      <c r="G84" t="s">
        <v>146</v>
      </c>
      <c r="H84">
        <v>1</v>
      </c>
      <c r="I84">
        <f>Table6[[#This Row],['# Count]]*Table6[[#This Row],[activated ratio]]</f>
        <v>1572864</v>
      </c>
    </row>
    <row r="85" spans="5:9" x14ac:dyDescent="0.25">
      <c r="E85">
        <v>1572864</v>
      </c>
      <c r="F85" t="s">
        <v>212</v>
      </c>
      <c r="G85" t="s">
        <v>146</v>
      </c>
      <c r="H85">
        <v>1</v>
      </c>
      <c r="I85">
        <f>Table6[[#This Row],['# Count]]*Table6[[#This Row],[activated ratio]]</f>
        <v>1572864</v>
      </c>
    </row>
    <row r="86" spans="5:9" x14ac:dyDescent="0.25">
      <c r="E86">
        <v>1572864</v>
      </c>
      <c r="F86" t="s">
        <v>213</v>
      </c>
      <c r="G86" t="s">
        <v>150</v>
      </c>
      <c r="H86">
        <v>1</v>
      </c>
      <c r="I86">
        <f>Table6[[#This Row],['# Count]]*Table6[[#This Row],[activated ratio]]</f>
        <v>1572864</v>
      </c>
    </row>
    <row r="87" spans="5:9" x14ac:dyDescent="0.25">
      <c r="E87">
        <v>768</v>
      </c>
      <c r="F87" t="s">
        <v>214</v>
      </c>
      <c r="G87" t="s">
        <v>144</v>
      </c>
      <c r="H87">
        <v>1</v>
      </c>
      <c r="I87">
        <f>Table6[[#This Row],['# Count]]*Table6[[#This Row],[activated ratio]]</f>
        <v>768</v>
      </c>
    </row>
    <row r="88" spans="5:9" x14ac:dyDescent="0.25">
      <c r="E88">
        <v>12288</v>
      </c>
      <c r="F88" t="s">
        <v>215</v>
      </c>
      <c r="G88" t="s">
        <v>153</v>
      </c>
      <c r="H88">
        <v>1</v>
      </c>
      <c r="I88">
        <f>Table6[[#This Row],['# Count]]*Table6[[#This Row],[activated ratio]]</f>
        <v>12288</v>
      </c>
    </row>
    <row r="89" spans="5:9" x14ac:dyDescent="0.25">
      <c r="E89" s="49">
        <v>98304</v>
      </c>
      <c r="F89" s="49" t="s">
        <v>252</v>
      </c>
      <c r="G89" s="49" t="s">
        <v>277</v>
      </c>
      <c r="H89" s="49">
        <v>1</v>
      </c>
      <c r="I89" s="49">
        <f>Table6[[#This Row],['# Count]]*Table6[[#This Row],[activated ratio]]</f>
        <v>98304</v>
      </c>
    </row>
    <row r="90" spans="5:9" x14ac:dyDescent="0.25">
      <c r="E90" s="47">
        <v>2097152</v>
      </c>
      <c r="F90" s="47" t="s">
        <v>216</v>
      </c>
      <c r="G90" s="47" t="s">
        <v>278</v>
      </c>
      <c r="H90" s="47">
        <v>0.125</v>
      </c>
      <c r="I90" s="47">
        <f>Table6[[#This Row],['# Count]]*Table6[[#This Row],[activated ratio]]</f>
        <v>262144</v>
      </c>
    </row>
    <row r="91" spans="5:9" x14ac:dyDescent="0.25">
      <c r="E91" s="47">
        <v>2097152</v>
      </c>
      <c r="F91" s="47" t="s">
        <v>217</v>
      </c>
      <c r="G91" s="47" t="s">
        <v>278</v>
      </c>
      <c r="H91" s="47">
        <v>0.125</v>
      </c>
      <c r="I91" s="47">
        <f>Table6[[#This Row],['# Count]]*Table6[[#This Row],[activated ratio]]</f>
        <v>262144</v>
      </c>
    </row>
    <row r="92" spans="5:9" x14ac:dyDescent="0.25">
      <c r="E92" s="47">
        <v>2097152</v>
      </c>
      <c r="F92" s="47" t="s">
        <v>218</v>
      </c>
      <c r="G92" s="47" t="s">
        <v>279</v>
      </c>
      <c r="H92" s="47">
        <v>0.125</v>
      </c>
      <c r="I92" s="47">
        <f>Table6[[#This Row],['# Count]]*Table6[[#This Row],[activated ratio]]</f>
        <v>262144</v>
      </c>
    </row>
    <row r="93" spans="5:9" x14ac:dyDescent="0.25">
      <c r="E93" s="49">
        <v>98304</v>
      </c>
      <c r="F93" s="49" t="s">
        <v>253</v>
      </c>
      <c r="G93" s="49" t="s">
        <v>280</v>
      </c>
      <c r="H93" s="49">
        <v>1</v>
      </c>
      <c r="I93" s="49">
        <f>Table6[[#This Row],['# Count]]*Table6[[#This Row],[activated ratio]]</f>
        <v>98304</v>
      </c>
    </row>
    <row r="94" spans="5:9" x14ac:dyDescent="0.25">
      <c r="E94">
        <v>768</v>
      </c>
      <c r="F94" t="s">
        <v>219</v>
      </c>
      <c r="G94" t="s">
        <v>144</v>
      </c>
      <c r="H94">
        <v>1</v>
      </c>
      <c r="I94">
        <f>Table6[[#This Row],['# Count]]*Table6[[#This Row],[activated ratio]]</f>
        <v>768</v>
      </c>
    </row>
    <row r="95" spans="5:9" x14ac:dyDescent="0.25">
      <c r="E95">
        <v>1572864</v>
      </c>
      <c r="F95" t="s">
        <v>220</v>
      </c>
      <c r="G95" t="s">
        <v>146</v>
      </c>
      <c r="H95">
        <v>1</v>
      </c>
      <c r="I95">
        <f>Table6[[#This Row],['# Count]]*Table6[[#This Row],[activated ratio]]</f>
        <v>1572864</v>
      </c>
    </row>
    <row r="96" spans="5:9" x14ac:dyDescent="0.25">
      <c r="E96">
        <v>1572864</v>
      </c>
      <c r="F96" t="s">
        <v>221</v>
      </c>
      <c r="G96" t="s">
        <v>146</v>
      </c>
      <c r="H96">
        <v>1</v>
      </c>
      <c r="I96">
        <f>Table6[[#This Row],['# Count]]*Table6[[#This Row],[activated ratio]]</f>
        <v>1572864</v>
      </c>
    </row>
    <row r="97" spans="5:9" x14ac:dyDescent="0.25">
      <c r="E97">
        <v>1572864</v>
      </c>
      <c r="F97" t="s">
        <v>222</v>
      </c>
      <c r="G97" t="s">
        <v>146</v>
      </c>
      <c r="H97">
        <v>1</v>
      </c>
      <c r="I97">
        <f>Table6[[#This Row],['# Count]]*Table6[[#This Row],[activated ratio]]</f>
        <v>1572864</v>
      </c>
    </row>
    <row r="98" spans="5:9" x14ac:dyDescent="0.25">
      <c r="E98">
        <v>1572864</v>
      </c>
      <c r="F98" t="s">
        <v>223</v>
      </c>
      <c r="G98" t="s">
        <v>150</v>
      </c>
      <c r="H98">
        <v>1</v>
      </c>
      <c r="I98">
        <f>Table6[[#This Row],['# Count]]*Table6[[#This Row],[activated ratio]]</f>
        <v>1572864</v>
      </c>
    </row>
    <row r="99" spans="5:9" x14ac:dyDescent="0.25">
      <c r="E99">
        <v>768</v>
      </c>
      <c r="F99" t="s">
        <v>224</v>
      </c>
      <c r="G99" t="s">
        <v>144</v>
      </c>
      <c r="H99">
        <v>1</v>
      </c>
      <c r="I99">
        <f>Table6[[#This Row],['# Count]]*Table6[[#This Row],[activated ratio]]</f>
        <v>768</v>
      </c>
    </row>
    <row r="100" spans="5:9" x14ac:dyDescent="0.25">
      <c r="E100">
        <v>12288</v>
      </c>
      <c r="F100" t="s">
        <v>225</v>
      </c>
      <c r="G100" t="s">
        <v>153</v>
      </c>
      <c r="H100">
        <v>1</v>
      </c>
      <c r="I100">
        <f>Table6[[#This Row],['# Count]]*Table6[[#This Row],[activated ratio]]</f>
        <v>12288</v>
      </c>
    </row>
    <row r="101" spans="5:9" x14ac:dyDescent="0.25">
      <c r="E101" s="49">
        <v>98304</v>
      </c>
      <c r="F101" s="49" t="s">
        <v>254</v>
      </c>
      <c r="G101" s="49" t="s">
        <v>277</v>
      </c>
      <c r="H101" s="49">
        <v>1</v>
      </c>
      <c r="I101" s="49">
        <f>Table6[[#This Row],['# Count]]*Table6[[#This Row],[activated ratio]]</f>
        <v>98304</v>
      </c>
    </row>
    <row r="102" spans="5:9" x14ac:dyDescent="0.25">
      <c r="E102" s="47">
        <v>2097152</v>
      </c>
      <c r="F102" s="47" t="s">
        <v>226</v>
      </c>
      <c r="G102" s="47" t="s">
        <v>278</v>
      </c>
      <c r="H102" s="47">
        <v>0.125</v>
      </c>
      <c r="I102" s="47">
        <f>Table6[[#This Row],['# Count]]*Table6[[#This Row],[activated ratio]]</f>
        <v>262144</v>
      </c>
    </row>
    <row r="103" spans="5:9" x14ac:dyDescent="0.25">
      <c r="E103" s="47">
        <v>2097152</v>
      </c>
      <c r="F103" s="47" t="s">
        <v>227</v>
      </c>
      <c r="G103" s="47" t="s">
        <v>278</v>
      </c>
      <c r="H103" s="47">
        <v>0.125</v>
      </c>
      <c r="I103" s="47">
        <f>Table6[[#This Row],['# Count]]*Table6[[#This Row],[activated ratio]]</f>
        <v>262144</v>
      </c>
    </row>
    <row r="104" spans="5:9" x14ac:dyDescent="0.25">
      <c r="E104" s="47">
        <v>2097152</v>
      </c>
      <c r="F104" s="47" t="s">
        <v>228</v>
      </c>
      <c r="G104" s="47" t="s">
        <v>279</v>
      </c>
      <c r="H104" s="47">
        <v>0.125</v>
      </c>
      <c r="I104" s="47">
        <f>Table6[[#This Row],['# Count]]*Table6[[#This Row],[activated ratio]]</f>
        <v>262144</v>
      </c>
    </row>
    <row r="105" spans="5:9" x14ac:dyDescent="0.25">
      <c r="E105" s="49">
        <v>98304</v>
      </c>
      <c r="F105" s="49" t="s">
        <v>255</v>
      </c>
      <c r="G105" s="49" t="s">
        <v>280</v>
      </c>
      <c r="H105" s="49">
        <v>1</v>
      </c>
      <c r="I105" s="49">
        <f>Table6[[#This Row],['# Count]]*Table6[[#This Row],[activated ratio]]</f>
        <v>98304</v>
      </c>
    </row>
    <row r="106" spans="5:9" x14ac:dyDescent="0.25">
      <c r="E106">
        <v>768</v>
      </c>
      <c r="F106" t="s">
        <v>229</v>
      </c>
      <c r="G106" t="s">
        <v>144</v>
      </c>
      <c r="H106">
        <v>1</v>
      </c>
      <c r="I106">
        <f>Table6[[#This Row],['# Count]]*Table6[[#This Row],[activated ratio]]</f>
        <v>768</v>
      </c>
    </row>
    <row r="107" spans="5:9" x14ac:dyDescent="0.25">
      <c r="E107">
        <v>24576000</v>
      </c>
      <c r="F107" t="s">
        <v>230</v>
      </c>
      <c r="G107" t="s">
        <v>142</v>
      </c>
      <c r="H107">
        <v>1</v>
      </c>
      <c r="I107">
        <f>Table6[[#This Row],['# Count]]*Table6[[#This Row],[activated ratio]]</f>
        <v>24576000</v>
      </c>
    </row>
    <row r="108" spans="5:9" x14ac:dyDescent="0.25">
      <c r="E108">
        <f>SUBTOTAL(109,Table6['# Count])</f>
        <v>151499520</v>
      </c>
      <c r="I108">
        <f>SUBTOTAL(109,Table6[activated])</f>
        <v>107459328</v>
      </c>
    </row>
    <row r="110" spans="5:9" x14ac:dyDescent="0.25">
      <c r="I110" s="42">
        <v>1572864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1D2878-66DB-41A8-BCFF-C6D81DD8240A}">
  <dimension ref="G3:K110"/>
  <sheetViews>
    <sheetView topLeftCell="A7" workbookViewId="0">
      <selection activeCell="K107" sqref="K9:K107"/>
    </sheetView>
  </sheetViews>
  <sheetFormatPr defaultRowHeight="15" x14ac:dyDescent="0.25"/>
  <cols>
    <col min="7" max="7" width="15.42578125" bestFit="1" customWidth="1"/>
    <col min="8" max="8" width="40" bestFit="1" customWidth="1"/>
    <col min="9" max="9" width="16.140625" bestFit="1" customWidth="1"/>
    <col min="10" max="10" width="16.42578125" customWidth="1"/>
    <col min="11" max="11" width="17.28515625" customWidth="1"/>
  </cols>
  <sheetData>
    <row r="3" spans="7:11" x14ac:dyDescent="0.25">
      <c r="I3" t="s">
        <v>256</v>
      </c>
    </row>
    <row r="4" spans="7:11" x14ac:dyDescent="0.25">
      <c r="I4" t="s">
        <v>257</v>
      </c>
    </row>
    <row r="5" spans="7:11" x14ac:dyDescent="0.25">
      <c r="I5" t="s">
        <v>268</v>
      </c>
    </row>
    <row r="8" spans="7:11" x14ac:dyDescent="0.25">
      <c r="G8" t="s">
        <v>138</v>
      </c>
      <c r="H8" t="s">
        <v>139</v>
      </c>
      <c r="I8" t="s">
        <v>140</v>
      </c>
      <c r="J8" t="s">
        <v>233</v>
      </c>
      <c r="K8" t="s">
        <v>232</v>
      </c>
    </row>
    <row r="9" spans="7:11" x14ac:dyDescent="0.25">
      <c r="G9">
        <v>24576000</v>
      </c>
      <c r="H9" t="s">
        <v>141</v>
      </c>
      <c r="I9" t="s">
        <v>142</v>
      </c>
      <c r="J9">
        <v>1</v>
      </c>
      <c r="K9">
        <f>Table4[[#This Row],['# Count]]*Table4[[#This Row],[activated ratio]]</f>
        <v>24576000</v>
      </c>
    </row>
    <row r="10" spans="7:11" x14ac:dyDescent="0.25">
      <c r="G10">
        <v>768</v>
      </c>
      <c r="H10" t="s">
        <v>143</v>
      </c>
      <c r="I10" t="s">
        <v>144</v>
      </c>
      <c r="J10">
        <v>1</v>
      </c>
      <c r="K10">
        <f>Table4[[#This Row],['# Count]]*Table4[[#This Row],[activated ratio]]</f>
        <v>768</v>
      </c>
    </row>
    <row r="11" spans="7:11" x14ac:dyDescent="0.25">
      <c r="G11">
        <v>1572864</v>
      </c>
      <c r="H11" t="s">
        <v>145</v>
      </c>
      <c r="I11" t="s">
        <v>146</v>
      </c>
      <c r="J11">
        <v>1</v>
      </c>
      <c r="K11">
        <f>Table4[[#This Row],['# Count]]*Table4[[#This Row],[activated ratio]]</f>
        <v>1572864</v>
      </c>
    </row>
    <row r="12" spans="7:11" x14ac:dyDescent="0.25">
      <c r="G12">
        <v>1572864</v>
      </c>
      <c r="H12" t="s">
        <v>147</v>
      </c>
      <c r="I12" t="s">
        <v>146</v>
      </c>
      <c r="J12">
        <v>1</v>
      </c>
      <c r="K12">
        <f>Table4[[#This Row],['# Count]]*Table4[[#This Row],[activated ratio]]</f>
        <v>1572864</v>
      </c>
    </row>
    <row r="13" spans="7:11" x14ac:dyDescent="0.25">
      <c r="G13">
        <v>1572864</v>
      </c>
      <c r="H13" t="s">
        <v>148</v>
      </c>
      <c r="I13" t="s">
        <v>146</v>
      </c>
      <c r="J13">
        <v>1</v>
      </c>
      <c r="K13">
        <f>Table4[[#This Row],['# Count]]*Table4[[#This Row],[activated ratio]]</f>
        <v>1572864</v>
      </c>
    </row>
    <row r="14" spans="7:11" x14ac:dyDescent="0.25">
      <c r="G14">
        <v>1572864</v>
      </c>
      <c r="H14" t="s">
        <v>149</v>
      </c>
      <c r="I14" t="s">
        <v>150</v>
      </c>
      <c r="J14">
        <v>1</v>
      </c>
      <c r="K14">
        <f>Table4[[#This Row],['# Count]]*Table4[[#This Row],[activated ratio]]</f>
        <v>1572864</v>
      </c>
    </row>
    <row r="15" spans="7:11" x14ac:dyDescent="0.25">
      <c r="G15">
        <v>768</v>
      </c>
      <c r="H15" t="s">
        <v>151</v>
      </c>
      <c r="I15" t="s">
        <v>144</v>
      </c>
      <c r="J15">
        <v>1</v>
      </c>
      <c r="K15">
        <f>Table4[[#This Row],['# Count]]*Table4[[#This Row],[activated ratio]]</f>
        <v>768</v>
      </c>
    </row>
    <row r="16" spans="7:11" x14ac:dyDescent="0.25">
      <c r="G16">
        <v>12288</v>
      </c>
      <c r="H16" t="s">
        <v>152</v>
      </c>
      <c r="I16" t="s">
        <v>153</v>
      </c>
      <c r="J16">
        <v>1</v>
      </c>
      <c r="K16">
        <f>Table4[[#This Row],['# Count]]*Table4[[#This Row],[activated ratio]]</f>
        <v>12288</v>
      </c>
    </row>
    <row r="17" spans="7:11" x14ac:dyDescent="0.25">
      <c r="G17" s="49">
        <v>196608</v>
      </c>
      <c r="H17" s="49" t="s">
        <v>236</v>
      </c>
      <c r="I17" s="49" t="s">
        <v>264</v>
      </c>
      <c r="J17" s="49">
        <v>1</v>
      </c>
      <c r="K17" s="49">
        <f>Table4[[#This Row],['# Count]]*Table4[[#This Row],[activated ratio]]</f>
        <v>196608</v>
      </c>
    </row>
    <row r="18" spans="7:11" x14ac:dyDescent="0.25">
      <c r="G18" s="47">
        <v>4194304</v>
      </c>
      <c r="H18" s="47" t="s">
        <v>154</v>
      </c>
      <c r="I18" s="47" t="s">
        <v>265</v>
      </c>
      <c r="J18" s="47">
        <v>0.125</v>
      </c>
      <c r="K18" s="47">
        <f>Table4[[#This Row],['# Count]]*Table4[[#This Row],[activated ratio]]</f>
        <v>524288</v>
      </c>
    </row>
    <row r="19" spans="7:11" x14ac:dyDescent="0.25">
      <c r="G19" s="47">
        <v>4194304</v>
      </c>
      <c r="H19" s="47" t="s">
        <v>156</v>
      </c>
      <c r="I19" s="47" t="s">
        <v>265</v>
      </c>
      <c r="J19" s="47">
        <v>0.125</v>
      </c>
      <c r="K19" s="47">
        <f>Table4[[#This Row],['# Count]]*Table4[[#This Row],[activated ratio]]</f>
        <v>524288</v>
      </c>
    </row>
    <row r="20" spans="7:11" x14ac:dyDescent="0.25">
      <c r="G20" s="47">
        <v>4194304</v>
      </c>
      <c r="H20" s="47" t="s">
        <v>157</v>
      </c>
      <c r="I20" s="47" t="s">
        <v>266</v>
      </c>
      <c r="J20" s="47">
        <v>0.125</v>
      </c>
      <c r="K20" s="47">
        <f>Table4[[#This Row],['# Count]]*Table4[[#This Row],[activated ratio]]</f>
        <v>524288</v>
      </c>
    </row>
    <row r="21" spans="7:11" x14ac:dyDescent="0.25">
      <c r="G21" s="49">
        <v>196608</v>
      </c>
      <c r="H21" s="49" t="s">
        <v>240</v>
      </c>
      <c r="I21" s="49" t="s">
        <v>267</v>
      </c>
      <c r="J21" s="49">
        <v>1</v>
      </c>
      <c r="K21" s="49">
        <f>Table4[[#This Row],['# Count]]*Table4[[#This Row],[activated ratio]]</f>
        <v>196608</v>
      </c>
    </row>
    <row r="22" spans="7:11" x14ac:dyDescent="0.25">
      <c r="G22">
        <v>768</v>
      </c>
      <c r="H22" t="s">
        <v>159</v>
      </c>
      <c r="I22" t="s">
        <v>144</v>
      </c>
      <c r="J22">
        <v>1</v>
      </c>
      <c r="K22">
        <f>Table4[[#This Row],['# Count]]*Table4[[#This Row],[activated ratio]]</f>
        <v>768</v>
      </c>
    </row>
    <row r="23" spans="7:11" x14ac:dyDescent="0.25">
      <c r="G23">
        <v>1572864</v>
      </c>
      <c r="H23" t="s">
        <v>160</v>
      </c>
      <c r="I23" t="s">
        <v>146</v>
      </c>
      <c r="J23">
        <v>1</v>
      </c>
      <c r="K23">
        <f>Table4[[#This Row],['# Count]]*Table4[[#This Row],[activated ratio]]</f>
        <v>1572864</v>
      </c>
    </row>
    <row r="24" spans="7:11" x14ac:dyDescent="0.25">
      <c r="G24">
        <v>1572864</v>
      </c>
      <c r="H24" t="s">
        <v>161</v>
      </c>
      <c r="I24" t="s">
        <v>146</v>
      </c>
      <c r="J24">
        <v>1</v>
      </c>
      <c r="K24">
        <f>Table4[[#This Row],['# Count]]*Table4[[#This Row],[activated ratio]]</f>
        <v>1572864</v>
      </c>
    </row>
    <row r="25" spans="7:11" x14ac:dyDescent="0.25">
      <c r="G25">
        <v>1572864</v>
      </c>
      <c r="H25" t="s">
        <v>162</v>
      </c>
      <c r="I25" t="s">
        <v>146</v>
      </c>
      <c r="J25">
        <v>1</v>
      </c>
      <c r="K25">
        <f>Table4[[#This Row],['# Count]]*Table4[[#This Row],[activated ratio]]</f>
        <v>1572864</v>
      </c>
    </row>
    <row r="26" spans="7:11" x14ac:dyDescent="0.25">
      <c r="G26">
        <v>1572864</v>
      </c>
      <c r="H26" t="s">
        <v>163</v>
      </c>
      <c r="I26" t="s">
        <v>150</v>
      </c>
      <c r="J26">
        <v>1</v>
      </c>
      <c r="K26">
        <f>Table4[[#This Row],['# Count]]*Table4[[#This Row],[activated ratio]]</f>
        <v>1572864</v>
      </c>
    </row>
    <row r="27" spans="7:11" x14ac:dyDescent="0.25">
      <c r="G27">
        <v>768</v>
      </c>
      <c r="H27" t="s">
        <v>164</v>
      </c>
      <c r="I27" t="s">
        <v>144</v>
      </c>
      <c r="J27">
        <v>1</v>
      </c>
      <c r="K27">
        <f>Table4[[#This Row],['# Count]]*Table4[[#This Row],[activated ratio]]</f>
        <v>768</v>
      </c>
    </row>
    <row r="28" spans="7:11" x14ac:dyDescent="0.25">
      <c r="G28">
        <v>12288</v>
      </c>
      <c r="H28" t="s">
        <v>165</v>
      </c>
      <c r="I28" t="s">
        <v>153</v>
      </c>
      <c r="J28">
        <v>1</v>
      </c>
      <c r="K28">
        <f>Table4[[#This Row],['# Count]]*Table4[[#This Row],[activated ratio]]</f>
        <v>12288</v>
      </c>
    </row>
    <row r="29" spans="7:11" x14ac:dyDescent="0.25">
      <c r="G29" s="49">
        <v>196608</v>
      </c>
      <c r="H29" s="49" t="s">
        <v>242</v>
      </c>
      <c r="I29" s="49" t="s">
        <v>264</v>
      </c>
      <c r="J29" s="49">
        <v>1</v>
      </c>
      <c r="K29" s="49">
        <f>Table4[[#This Row],['# Count]]*Table4[[#This Row],[activated ratio]]</f>
        <v>196608</v>
      </c>
    </row>
    <row r="30" spans="7:11" x14ac:dyDescent="0.25">
      <c r="G30" s="47">
        <v>4194304</v>
      </c>
      <c r="H30" s="47" t="s">
        <v>166</v>
      </c>
      <c r="I30" s="47" t="s">
        <v>265</v>
      </c>
      <c r="J30" s="47">
        <v>0.125</v>
      </c>
      <c r="K30" s="47">
        <f>Table4[[#This Row],['# Count]]*Table4[[#This Row],[activated ratio]]</f>
        <v>524288</v>
      </c>
    </row>
    <row r="31" spans="7:11" x14ac:dyDescent="0.25">
      <c r="G31" s="47">
        <v>4194304</v>
      </c>
      <c r="H31" s="47" t="s">
        <v>167</v>
      </c>
      <c r="I31" s="47" t="s">
        <v>265</v>
      </c>
      <c r="J31" s="47">
        <v>0.125</v>
      </c>
      <c r="K31" s="47">
        <f>Table4[[#This Row],['# Count]]*Table4[[#This Row],[activated ratio]]</f>
        <v>524288</v>
      </c>
    </row>
    <row r="32" spans="7:11" x14ac:dyDescent="0.25">
      <c r="G32" s="47">
        <v>4194304</v>
      </c>
      <c r="H32" s="47" t="s">
        <v>168</v>
      </c>
      <c r="I32" s="47" t="s">
        <v>266</v>
      </c>
      <c r="J32" s="47">
        <v>0.125</v>
      </c>
      <c r="K32" s="47">
        <f>Table4[[#This Row],['# Count]]*Table4[[#This Row],[activated ratio]]</f>
        <v>524288</v>
      </c>
    </row>
    <row r="33" spans="7:11" x14ac:dyDescent="0.25">
      <c r="G33" s="49">
        <v>196608</v>
      </c>
      <c r="H33" s="49" t="s">
        <v>243</v>
      </c>
      <c r="I33" s="49" t="s">
        <v>267</v>
      </c>
      <c r="J33" s="49">
        <v>1</v>
      </c>
      <c r="K33" s="49">
        <f>Table4[[#This Row],['# Count]]*Table4[[#This Row],[activated ratio]]</f>
        <v>196608</v>
      </c>
    </row>
    <row r="34" spans="7:11" x14ac:dyDescent="0.25">
      <c r="G34">
        <v>768</v>
      </c>
      <c r="H34" t="s">
        <v>169</v>
      </c>
      <c r="I34" t="s">
        <v>144</v>
      </c>
      <c r="J34">
        <v>1</v>
      </c>
      <c r="K34">
        <f>Table4[[#This Row],['# Count]]*Table4[[#This Row],[activated ratio]]</f>
        <v>768</v>
      </c>
    </row>
    <row r="35" spans="7:11" x14ac:dyDescent="0.25">
      <c r="G35">
        <v>1572864</v>
      </c>
      <c r="H35" t="s">
        <v>170</v>
      </c>
      <c r="I35" t="s">
        <v>146</v>
      </c>
      <c r="J35">
        <v>1</v>
      </c>
      <c r="K35">
        <f>Table4[[#This Row],['# Count]]*Table4[[#This Row],[activated ratio]]</f>
        <v>1572864</v>
      </c>
    </row>
    <row r="36" spans="7:11" x14ac:dyDescent="0.25">
      <c r="G36">
        <v>1572864</v>
      </c>
      <c r="H36" t="s">
        <v>171</v>
      </c>
      <c r="I36" t="s">
        <v>146</v>
      </c>
      <c r="J36">
        <v>1</v>
      </c>
      <c r="K36">
        <f>Table4[[#This Row],['# Count]]*Table4[[#This Row],[activated ratio]]</f>
        <v>1572864</v>
      </c>
    </row>
    <row r="37" spans="7:11" x14ac:dyDescent="0.25">
      <c r="G37">
        <v>1572864</v>
      </c>
      <c r="H37" t="s">
        <v>172</v>
      </c>
      <c r="I37" t="s">
        <v>146</v>
      </c>
      <c r="J37">
        <v>1</v>
      </c>
      <c r="K37">
        <f>Table4[[#This Row],['# Count]]*Table4[[#This Row],[activated ratio]]</f>
        <v>1572864</v>
      </c>
    </row>
    <row r="38" spans="7:11" x14ac:dyDescent="0.25">
      <c r="G38">
        <v>1572864</v>
      </c>
      <c r="H38" t="s">
        <v>173</v>
      </c>
      <c r="I38" t="s">
        <v>150</v>
      </c>
      <c r="J38">
        <v>1</v>
      </c>
      <c r="K38">
        <f>Table4[[#This Row],['# Count]]*Table4[[#This Row],[activated ratio]]</f>
        <v>1572864</v>
      </c>
    </row>
    <row r="39" spans="7:11" x14ac:dyDescent="0.25">
      <c r="G39">
        <v>768</v>
      </c>
      <c r="H39" t="s">
        <v>174</v>
      </c>
      <c r="I39" t="s">
        <v>144</v>
      </c>
      <c r="J39">
        <v>1</v>
      </c>
      <c r="K39">
        <f>Table4[[#This Row],['# Count]]*Table4[[#This Row],[activated ratio]]</f>
        <v>768</v>
      </c>
    </row>
    <row r="40" spans="7:11" x14ac:dyDescent="0.25">
      <c r="G40">
        <v>12288</v>
      </c>
      <c r="H40" t="s">
        <v>175</v>
      </c>
      <c r="I40" t="s">
        <v>153</v>
      </c>
      <c r="J40">
        <v>1</v>
      </c>
      <c r="K40">
        <f>Table4[[#This Row],['# Count]]*Table4[[#This Row],[activated ratio]]</f>
        <v>12288</v>
      </c>
    </row>
    <row r="41" spans="7:11" x14ac:dyDescent="0.25">
      <c r="G41" s="49">
        <v>196608</v>
      </c>
      <c r="H41" s="49" t="s">
        <v>244</v>
      </c>
      <c r="I41" s="49" t="s">
        <v>264</v>
      </c>
      <c r="J41" s="49">
        <v>1</v>
      </c>
      <c r="K41" s="49">
        <f>Table4[[#This Row],['# Count]]*Table4[[#This Row],[activated ratio]]</f>
        <v>196608</v>
      </c>
    </row>
    <row r="42" spans="7:11" x14ac:dyDescent="0.25">
      <c r="G42" s="47">
        <v>4194304</v>
      </c>
      <c r="H42" s="47" t="s">
        <v>176</v>
      </c>
      <c r="I42" s="47" t="s">
        <v>265</v>
      </c>
      <c r="J42" s="47">
        <v>0.125</v>
      </c>
      <c r="K42" s="47">
        <f>Table4[[#This Row],['# Count]]*Table4[[#This Row],[activated ratio]]</f>
        <v>524288</v>
      </c>
    </row>
    <row r="43" spans="7:11" x14ac:dyDescent="0.25">
      <c r="G43" s="47">
        <v>4194304</v>
      </c>
      <c r="H43" s="47" t="s">
        <v>177</v>
      </c>
      <c r="I43" s="47" t="s">
        <v>265</v>
      </c>
      <c r="J43" s="47">
        <v>0.125</v>
      </c>
      <c r="K43" s="47">
        <f>Table4[[#This Row],['# Count]]*Table4[[#This Row],[activated ratio]]</f>
        <v>524288</v>
      </c>
    </row>
    <row r="44" spans="7:11" x14ac:dyDescent="0.25">
      <c r="G44" s="47">
        <v>4194304</v>
      </c>
      <c r="H44" s="47" t="s">
        <v>178</v>
      </c>
      <c r="I44" s="47" t="s">
        <v>266</v>
      </c>
      <c r="J44" s="47">
        <v>0.125</v>
      </c>
      <c r="K44" s="47">
        <f>Table4[[#This Row],['# Count]]*Table4[[#This Row],[activated ratio]]</f>
        <v>524288</v>
      </c>
    </row>
    <row r="45" spans="7:11" x14ac:dyDescent="0.25">
      <c r="G45" s="49">
        <v>196608</v>
      </c>
      <c r="H45" s="49" t="s">
        <v>245</v>
      </c>
      <c r="I45" s="49" t="s">
        <v>267</v>
      </c>
      <c r="J45" s="49">
        <v>1</v>
      </c>
      <c r="K45" s="49">
        <f>Table4[[#This Row],['# Count]]*Table4[[#This Row],[activated ratio]]</f>
        <v>196608</v>
      </c>
    </row>
    <row r="46" spans="7:11" x14ac:dyDescent="0.25">
      <c r="G46">
        <v>768</v>
      </c>
      <c r="H46" t="s">
        <v>179</v>
      </c>
      <c r="I46" t="s">
        <v>144</v>
      </c>
      <c r="J46">
        <v>1</v>
      </c>
      <c r="K46">
        <f>Table4[[#This Row],['# Count]]*Table4[[#This Row],[activated ratio]]</f>
        <v>768</v>
      </c>
    </row>
    <row r="47" spans="7:11" x14ac:dyDescent="0.25">
      <c r="G47">
        <v>1572864</v>
      </c>
      <c r="H47" t="s">
        <v>180</v>
      </c>
      <c r="I47" t="s">
        <v>146</v>
      </c>
      <c r="J47">
        <v>1</v>
      </c>
      <c r="K47">
        <f>Table4[[#This Row],['# Count]]*Table4[[#This Row],[activated ratio]]</f>
        <v>1572864</v>
      </c>
    </row>
    <row r="48" spans="7:11" x14ac:dyDescent="0.25">
      <c r="G48">
        <v>1572864</v>
      </c>
      <c r="H48" t="s">
        <v>181</v>
      </c>
      <c r="I48" t="s">
        <v>146</v>
      </c>
      <c r="J48">
        <v>1</v>
      </c>
      <c r="K48">
        <f>Table4[[#This Row],['# Count]]*Table4[[#This Row],[activated ratio]]</f>
        <v>1572864</v>
      </c>
    </row>
    <row r="49" spans="7:11" x14ac:dyDescent="0.25">
      <c r="G49">
        <v>1572864</v>
      </c>
      <c r="H49" t="s">
        <v>182</v>
      </c>
      <c r="I49" t="s">
        <v>146</v>
      </c>
      <c r="J49">
        <v>1</v>
      </c>
      <c r="K49">
        <f>Table4[[#This Row],['# Count]]*Table4[[#This Row],[activated ratio]]</f>
        <v>1572864</v>
      </c>
    </row>
    <row r="50" spans="7:11" x14ac:dyDescent="0.25">
      <c r="G50">
        <v>1572864</v>
      </c>
      <c r="H50" t="s">
        <v>183</v>
      </c>
      <c r="I50" t="s">
        <v>150</v>
      </c>
      <c r="J50">
        <v>1</v>
      </c>
      <c r="K50">
        <f>Table4[[#This Row],['# Count]]*Table4[[#This Row],[activated ratio]]</f>
        <v>1572864</v>
      </c>
    </row>
    <row r="51" spans="7:11" x14ac:dyDescent="0.25">
      <c r="G51">
        <v>768</v>
      </c>
      <c r="H51" t="s">
        <v>184</v>
      </c>
      <c r="I51" t="s">
        <v>144</v>
      </c>
      <c r="J51">
        <v>1</v>
      </c>
      <c r="K51">
        <f>Table4[[#This Row],['# Count]]*Table4[[#This Row],[activated ratio]]</f>
        <v>768</v>
      </c>
    </row>
    <row r="52" spans="7:11" x14ac:dyDescent="0.25">
      <c r="G52">
        <v>12288</v>
      </c>
      <c r="H52" t="s">
        <v>185</v>
      </c>
      <c r="I52" t="s">
        <v>153</v>
      </c>
      <c r="J52">
        <v>1</v>
      </c>
      <c r="K52">
        <f>Table4[[#This Row],['# Count]]*Table4[[#This Row],[activated ratio]]</f>
        <v>12288</v>
      </c>
    </row>
    <row r="53" spans="7:11" x14ac:dyDescent="0.25">
      <c r="G53" s="49">
        <v>196608</v>
      </c>
      <c r="H53" s="49" t="s">
        <v>246</v>
      </c>
      <c r="I53" s="49" t="s">
        <v>264</v>
      </c>
      <c r="J53" s="49">
        <v>1</v>
      </c>
      <c r="K53" s="49">
        <f>Table4[[#This Row],['# Count]]*Table4[[#This Row],[activated ratio]]</f>
        <v>196608</v>
      </c>
    </row>
    <row r="54" spans="7:11" x14ac:dyDescent="0.25">
      <c r="G54" s="47">
        <v>4194304</v>
      </c>
      <c r="H54" s="47" t="s">
        <v>186</v>
      </c>
      <c r="I54" s="47" t="s">
        <v>265</v>
      </c>
      <c r="J54" s="47">
        <v>0.125</v>
      </c>
      <c r="K54" s="47">
        <f>Table4[[#This Row],['# Count]]*Table4[[#This Row],[activated ratio]]</f>
        <v>524288</v>
      </c>
    </row>
    <row r="55" spans="7:11" x14ac:dyDescent="0.25">
      <c r="G55" s="47">
        <v>4194304</v>
      </c>
      <c r="H55" s="47" t="s">
        <v>187</v>
      </c>
      <c r="I55" s="47" t="s">
        <v>265</v>
      </c>
      <c r="J55" s="47">
        <v>0.125</v>
      </c>
      <c r="K55" s="47">
        <f>Table4[[#This Row],['# Count]]*Table4[[#This Row],[activated ratio]]</f>
        <v>524288</v>
      </c>
    </row>
    <row r="56" spans="7:11" x14ac:dyDescent="0.25">
      <c r="G56" s="47">
        <v>4194304</v>
      </c>
      <c r="H56" s="47" t="s">
        <v>188</v>
      </c>
      <c r="I56" s="47" t="s">
        <v>266</v>
      </c>
      <c r="J56" s="47">
        <v>0.125</v>
      </c>
      <c r="K56" s="47">
        <f>Table4[[#This Row],['# Count]]*Table4[[#This Row],[activated ratio]]</f>
        <v>524288</v>
      </c>
    </row>
    <row r="57" spans="7:11" x14ac:dyDescent="0.25">
      <c r="G57" s="49">
        <v>196608</v>
      </c>
      <c r="H57" s="49" t="s">
        <v>247</v>
      </c>
      <c r="I57" s="49" t="s">
        <v>267</v>
      </c>
      <c r="J57" s="49">
        <v>1</v>
      </c>
      <c r="K57" s="49">
        <f>Table4[[#This Row],['# Count]]*Table4[[#This Row],[activated ratio]]</f>
        <v>196608</v>
      </c>
    </row>
    <row r="58" spans="7:11" x14ac:dyDescent="0.25">
      <c r="G58">
        <v>768</v>
      </c>
      <c r="H58" t="s">
        <v>189</v>
      </c>
      <c r="I58" t="s">
        <v>144</v>
      </c>
      <c r="J58">
        <v>1</v>
      </c>
      <c r="K58">
        <f>Table4[[#This Row],['# Count]]*Table4[[#This Row],[activated ratio]]</f>
        <v>768</v>
      </c>
    </row>
    <row r="59" spans="7:11" x14ac:dyDescent="0.25">
      <c r="G59">
        <v>1572864</v>
      </c>
      <c r="H59" t="s">
        <v>190</v>
      </c>
      <c r="I59" t="s">
        <v>146</v>
      </c>
      <c r="J59">
        <v>1</v>
      </c>
      <c r="K59">
        <f>Table4[[#This Row],['# Count]]*Table4[[#This Row],[activated ratio]]</f>
        <v>1572864</v>
      </c>
    </row>
    <row r="60" spans="7:11" x14ac:dyDescent="0.25">
      <c r="G60">
        <v>1572864</v>
      </c>
      <c r="H60" t="s">
        <v>191</v>
      </c>
      <c r="I60" t="s">
        <v>146</v>
      </c>
      <c r="J60">
        <v>1</v>
      </c>
      <c r="K60">
        <f>Table4[[#This Row],['# Count]]*Table4[[#This Row],[activated ratio]]</f>
        <v>1572864</v>
      </c>
    </row>
    <row r="61" spans="7:11" x14ac:dyDescent="0.25">
      <c r="G61">
        <v>1572864</v>
      </c>
      <c r="H61" t="s">
        <v>192</v>
      </c>
      <c r="I61" t="s">
        <v>146</v>
      </c>
      <c r="J61">
        <v>1</v>
      </c>
      <c r="K61">
        <f>Table4[[#This Row],['# Count]]*Table4[[#This Row],[activated ratio]]</f>
        <v>1572864</v>
      </c>
    </row>
    <row r="62" spans="7:11" x14ac:dyDescent="0.25">
      <c r="G62">
        <v>1572864</v>
      </c>
      <c r="H62" t="s">
        <v>193</v>
      </c>
      <c r="I62" t="s">
        <v>150</v>
      </c>
      <c r="J62">
        <v>1</v>
      </c>
      <c r="K62">
        <f>Table4[[#This Row],['# Count]]*Table4[[#This Row],[activated ratio]]</f>
        <v>1572864</v>
      </c>
    </row>
    <row r="63" spans="7:11" x14ac:dyDescent="0.25">
      <c r="G63">
        <v>768</v>
      </c>
      <c r="H63" t="s">
        <v>194</v>
      </c>
      <c r="I63" t="s">
        <v>144</v>
      </c>
      <c r="J63">
        <v>1</v>
      </c>
      <c r="K63">
        <f>Table4[[#This Row],['# Count]]*Table4[[#This Row],[activated ratio]]</f>
        <v>768</v>
      </c>
    </row>
    <row r="64" spans="7:11" x14ac:dyDescent="0.25">
      <c r="G64">
        <v>12288</v>
      </c>
      <c r="H64" t="s">
        <v>195</v>
      </c>
      <c r="I64" t="s">
        <v>153</v>
      </c>
      <c r="J64">
        <v>1</v>
      </c>
      <c r="K64">
        <f>Table4[[#This Row],['# Count]]*Table4[[#This Row],[activated ratio]]</f>
        <v>12288</v>
      </c>
    </row>
    <row r="65" spans="7:11" x14ac:dyDescent="0.25">
      <c r="G65" s="49">
        <v>196608</v>
      </c>
      <c r="H65" s="49" t="s">
        <v>248</v>
      </c>
      <c r="I65" s="49" t="s">
        <v>264</v>
      </c>
      <c r="J65" s="49">
        <v>1</v>
      </c>
      <c r="K65" s="49">
        <f>Table4[[#This Row],['# Count]]*Table4[[#This Row],[activated ratio]]</f>
        <v>196608</v>
      </c>
    </row>
    <row r="66" spans="7:11" x14ac:dyDescent="0.25">
      <c r="G66" s="47">
        <v>4194304</v>
      </c>
      <c r="H66" s="47" t="s">
        <v>196</v>
      </c>
      <c r="I66" s="47" t="s">
        <v>265</v>
      </c>
      <c r="J66" s="47">
        <v>0.125</v>
      </c>
      <c r="K66" s="47">
        <f>Table4[[#This Row],['# Count]]*Table4[[#This Row],[activated ratio]]</f>
        <v>524288</v>
      </c>
    </row>
    <row r="67" spans="7:11" x14ac:dyDescent="0.25">
      <c r="G67" s="47">
        <v>4194304</v>
      </c>
      <c r="H67" s="47" t="s">
        <v>197</v>
      </c>
      <c r="I67" s="47" t="s">
        <v>265</v>
      </c>
      <c r="J67" s="47">
        <v>0.125</v>
      </c>
      <c r="K67" s="47">
        <f>Table4[[#This Row],['# Count]]*Table4[[#This Row],[activated ratio]]</f>
        <v>524288</v>
      </c>
    </row>
    <row r="68" spans="7:11" x14ac:dyDescent="0.25">
      <c r="G68" s="47">
        <v>4194304</v>
      </c>
      <c r="H68" s="47" t="s">
        <v>198</v>
      </c>
      <c r="I68" s="47" t="s">
        <v>266</v>
      </c>
      <c r="J68" s="47">
        <v>0.125</v>
      </c>
      <c r="K68" s="47">
        <f>Table4[[#This Row],['# Count]]*Table4[[#This Row],[activated ratio]]</f>
        <v>524288</v>
      </c>
    </row>
    <row r="69" spans="7:11" x14ac:dyDescent="0.25">
      <c r="G69" s="49">
        <v>196608</v>
      </c>
      <c r="H69" s="49" t="s">
        <v>249</v>
      </c>
      <c r="I69" s="49" t="s">
        <v>267</v>
      </c>
      <c r="J69" s="49">
        <v>1</v>
      </c>
      <c r="K69" s="49">
        <f>Table4[[#This Row],['# Count]]*Table4[[#This Row],[activated ratio]]</f>
        <v>196608</v>
      </c>
    </row>
    <row r="70" spans="7:11" x14ac:dyDescent="0.25">
      <c r="G70">
        <v>768</v>
      </c>
      <c r="H70" t="s">
        <v>199</v>
      </c>
      <c r="I70" t="s">
        <v>144</v>
      </c>
      <c r="J70">
        <v>1</v>
      </c>
      <c r="K70">
        <f>Table4[[#This Row],['# Count]]*Table4[[#This Row],[activated ratio]]</f>
        <v>768</v>
      </c>
    </row>
    <row r="71" spans="7:11" x14ac:dyDescent="0.25">
      <c r="G71">
        <v>1572864</v>
      </c>
      <c r="H71" t="s">
        <v>200</v>
      </c>
      <c r="I71" t="s">
        <v>146</v>
      </c>
      <c r="J71">
        <v>1</v>
      </c>
      <c r="K71">
        <f>Table4[[#This Row],['# Count]]*Table4[[#This Row],[activated ratio]]</f>
        <v>1572864</v>
      </c>
    </row>
    <row r="72" spans="7:11" x14ac:dyDescent="0.25">
      <c r="G72">
        <v>1572864</v>
      </c>
      <c r="H72" t="s">
        <v>201</v>
      </c>
      <c r="I72" t="s">
        <v>146</v>
      </c>
      <c r="J72">
        <v>1</v>
      </c>
      <c r="K72">
        <f>Table4[[#This Row],['# Count]]*Table4[[#This Row],[activated ratio]]</f>
        <v>1572864</v>
      </c>
    </row>
    <row r="73" spans="7:11" x14ac:dyDescent="0.25">
      <c r="G73">
        <v>1572864</v>
      </c>
      <c r="H73" t="s">
        <v>202</v>
      </c>
      <c r="I73" t="s">
        <v>146</v>
      </c>
      <c r="J73">
        <v>1</v>
      </c>
      <c r="K73">
        <f>Table4[[#This Row],['# Count]]*Table4[[#This Row],[activated ratio]]</f>
        <v>1572864</v>
      </c>
    </row>
    <row r="74" spans="7:11" x14ac:dyDescent="0.25">
      <c r="G74">
        <v>1572864</v>
      </c>
      <c r="H74" t="s">
        <v>203</v>
      </c>
      <c r="I74" t="s">
        <v>150</v>
      </c>
      <c r="J74">
        <v>1</v>
      </c>
      <c r="K74">
        <f>Table4[[#This Row],['# Count]]*Table4[[#This Row],[activated ratio]]</f>
        <v>1572864</v>
      </c>
    </row>
    <row r="75" spans="7:11" x14ac:dyDescent="0.25">
      <c r="G75">
        <v>768</v>
      </c>
      <c r="H75" t="s">
        <v>204</v>
      </c>
      <c r="I75" t="s">
        <v>144</v>
      </c>
      <c r="J75">
        <v>1</v>
      </c>
      <c r="K75">
        <f>Table4[[#This Row],['# Count]]*Table4[[#This Row],[activated ratio]]</f>
        <v>768</v>
      </c>
    </row>
    <row r="76" spans="7:11" x14ac:dyDescent="0.25">
      <c r="G76">
        <v>12288</v>
      </c>
      <c r="H76" t="s">
        <v>205</v>
      </c>
      <c r="I76" t="s">
        <v>153</v>
      </c>
      <c r="J76">
        <v>1</v>
      </c>
      <c r="K76">
        <f>Table4[[#This Row],['# Count]]*Table4[[#This Row],[activated ratio]]</f>
        <v>12288</v>
      </c>
    </row>
    <row r="77" spans="7:11" x14ac:dyDescent="0.25">
      <c r="G77" s="49">
        <v>196608</v>
      </c>
      <c r="H77" s="49" t="s">
        <v>250</v>
      </c>
      <c r="I77" s="49" t="s">
        <v>264</v>
      </c>
      <c r="J77" s="49">
        <v>1</v>
      </c>
      <c r="K77" s="49">
        <f>Table4[[#This Row],['# Count]]*Table4[[#This Row],[activated ratio]]</f>
        <v>196608</v>
      </c>
    </row>
    <row r="78" spans="7:11" x14ac:dyDescent="0.25">
      <c r="G78" s="47">
        <v>4194304</v>
      </c>
      <c r="H78" s="47" t="s">
        <v>206</v>
      </c>
      <c r="I78" s="47" t="s">
        <v>265</v>
      </c>
      <c r="J78" s="47">
        <v>0.125</v>
      </c>
      <c r="K78" s="47">
        <f>Table4[[#This Row],['# Count]]*Table4[[#This Row],[activated ratio]]</f>
        <v>524288</v>
      </c>
    </row>
    <row r="79" spans="7:11" x14ac:dyDescent="0.25">
      <c r="G79" s="47">
        <v>4194304</v>
      </c>
      <c r="H79" s="47" t="s">
        <v>207</v>
      </c>
      <c r="I79" s="47" t="s">
        <v>265</v>
      </c>
      <c r="J79" s="47">
        <v>0.125</v>
      </c>
      <c r="K79" s="47">
        <f>Table4[[#This Row],['# Count]]*Table4[[#This Row],[activated ratio]]</f>
        <v>524288</v>
      </c>
    </row>
    <row r="80" spans="7:11" x14ac:dyDescent="0.25">
      <c r="G80" s="47">
        <v>4194304</v>
      </c>
      <c r="H80" s="47" t="s">
        <v>208</v>
      </c>
      <c r="I80" s="47" t="s">
        <v>266</v>
      </c>
      <c r="J80" s="47">
        <v>0.125</v>
      </c>
      <c r="K80" s="47">
        <f>Table4[[#This Row],['# Count]]*Table4[[#This Row],[activated ratio]]</f>
        <v>524288</v>
      </c>
    </row>
    <row r="81" spans="7:11" x14ac:dyDescent="0.25">
      <c r="G81" s="49">
        <v>196608</v>
      </c>
      <c r="H81" s="49" t="s">
        <v>251</v>
      </c>
      <c r="I81" s="49" t="s">
        <v>267</v>
      </c>
      <c r="J81" s="49">
        <v>1</v>
      </c>
      <c r="K81" s="49">
        <f>Table4[[#This Row],['# Count]]*Table4[[#This Row],[activated ratio]]</f>
        <v>196608</v>
      </c>
    </row>
    <row r="82" spans="7:11" x14ac:dyDescent="0.25">
      <c r="G82">
        <v>768</v>
      </c>
      <c r="H82" t="s">
        <v>209</v>
      </c>
      <c r="I82" t="s">
        <v>144</v>
      </c>
      <c r="J82">
        <v>1</v>
      </c>
      <c r="K82">
        <f>Table4[[#This Row],['# Count]]*Table4[[#This Row],[activated ratio]]</f>
        <v>768</v>
      </c>
    </row>
    <row r="83" spans="7:11" x14ac:dyDescent="0.25">
      <c r="G83">
        <v>1572864</v>
      </c>
      <c r="H83" t="s">
        <v>210</v>
      </c>
      <c r="I83" t="s">
        <v>146</v>
      </c>
      <c r="J83">
        <v>1</v>
      </c>
      <c r="K83">
        <f>Table4[[#This Row],['# Count]]*Table4[[#This Row],[activated ratio]]</f>
        <v>1572864</v>
      </c>
    </row>
    <row r="84" spans="7:11" x14ac:dyDescent="0.25">
      <c r="G84">
        <v>1572864</v>
      </c>
      <c r="H84" t="s">
        <v>211</v>
      </c>
      <c r="I84" t="s">
        <v>146</v>
      </c>
      <c r="J84">
        <v>1</v>
      </c>
      <c r="K84">
        <f>Table4[[#This Row],['# Count]]*Table4[[#This Row],[activated ratio]]</f>
        <v>1572864</v>
      </c>
    </row>
    <row r="85" spans="7:11" x14ac:dyDescent="0.25">
      <c r="G85">
        <v>1572864</v>
      </c>
      <c r="H85" t="s">
        <v>212</v>
      </c>
      <c r="I85" t="s">
        <v>146</v>
      </c>
      <c r="J85">
        <v>1</v>
      </c>
      <c r="K85">
        <f>Table4[[#This Row],['# Count]]*Table4[[#This Row],[activated ratio]]</f>
        <v>1572864</v>
      </c>
    </row>
    <row r="86" spans="7:11" x14ac:dyDescent="0.25">
      <c r="G86">
        <v>1572864</v>
      </c>
      <c r="H86" t="s">
        <v>213</v>
      </c>
      <c r="I86" t="s">
        <v>150</v>
      </c>
      <c r="J86">
        <v>1</v>
      </c>
      <c r="K86">
        <f>Table4[[#This Row],['# Count]]*Table4[[#This Row],[activated ratio]]</f>
        <v>1572864</v>
      </c>
    </row>
    <row r="87" spans="7:11" x14ac:dyDescent="0.25">
      <c r="G87">
        <v>768</v>
      </c>
      <c r="H87" t="s">
        <v>214</v>
      </c>
      <c r="I87" t="s">
        <v>144</v>
      </c>
      <c r="J87">
        <v>1</v>
      </c>
      <c r="K87">
        <f>Table4[[#This Row],['# Count]]*Table4[[#This Row],[activated ratio]]</f>
        <v>768</v>
      </c>
    </row>
    <row r="88" spans="7:11" x14ac:dyDescent="0.25">
      <c r="G88">
        <v>12288</v>
      </c>
      <c r="H88" t="s">
        <v>215</v>
      </c>
      <c r="I88" t="s">
        <v>153</v>
      </c>
      <c r="J88">
        <v>1</v>
      </c>
      <c r="K88">
        <f>Table4[[#This Row],['# Count]]*Table4[[#This Row],[activated ratio]]</f>
        <v>12288</v>
      </c>
    </row>
    <row r="89" spans="7:11" x14ac:dyDescent="0.25">
      <c r="G89" s="49">
        <v>196608</v>
      </c>
      <c r="H89" s="49" t="s">
        <v>252</v>
      </c>
      <c r="I89" s="49" t="s">
        <v>264</v>
      </c>
      <c r="J89" s="49">
        <v>1</v>
      </c>
      <c r="K89" s="49">
        <f>Table4[[#This Row],['# Count]]*Table4[[#This Row],[activated ratio]]</f>
        <v>196608</v>
      </c>
    </row>
    <row r="90" spans="7:11" x14ac:dyDescent="0.25">
      <c r="G90" s="47">
        <v>4194304</v>
      </c>
      <c r="H90" s="47" t="s">
        <v>216</v>
      </c>
      <c r="I90" s="47" t="s">
        <v>265</v>
      </c>
      <c r="J90" s="47">
        <v>0.125</v>
      </c>
      <c r="K90" s="47">
        <f>Table4[[#This Row],['# Count]]*Table4[[#This Row],[activated ratio]]</f>
        <v>524288</v>
      </c>
    </row>
    <row r="91" spans="7:11" x14ac:dyDescent="0.25">
      <c r="G91" s="47">
        <v>4194304</v>
      </c>
      <c r="H91" s="47" t="s">
        <v>217</v>
      </c>
      <c r="I91" s="47" t="s">
        <v>265</v>
      </c>
      <c r="J91" s="47">
        <v>0.125</v>
      </c>
      <c r="K91" s="47">
        <f>Table4[[#This Row],['# Count]]*Table4[[#This Row],[activated ratio]]</f>
        <v>524288</v>
      </c>
    </row>
    <row r="92" spans="7:11" x14ac:dyDescent="0.25">
      <c r="G92" s="47">
        <v>4194304</v>
      </c>
      <c r="H92" s="47" t="s">
        <v>218</v>
      </c>
      <c r="I92" s="47" t="s">
        <v>266</v>
      </c>
      <c r="J92" s="47">
        <v>0.125</v>
      </c>
      <c r="K92" s="47">
        <f>Table4[[#This Row],['# Count]]*Table4[[#This Row],[activated ratio]]</f>
        <v>524288</v>
      </c>
    </row>
    <row r="93" spans="7:11" x14ac:dyDescent="0.25">
      <c r="G93" s="49">
        <v>196608</v>
      </c>
      <c r="H93" s="49" t="s">
        <v>253</v>
      </c>
      <c r="I93" s="49" t="s">
        <v>267</v>
      </c>
      <c r="J93" s="49">
        <v>1</v>
      </c>
      <c r="K93" s="49">
        <f>Table4[[#This Row],['# Count]]*Table4[[#This Row],[activated ratio]]</f>
        <v>196608</v>
      </c>
    </row>
    <row r="94" spans="7:11" x14ac:dyDescent="0.25">
      <c r="G94">
        <v>768</v>
      </c>
      <c r="H94" t="s">
        <v>219</v>
      </c>
      <c r="I94" t="s">
        <v>144</v>
      </c>
      <c r="J94">
        <v>1</v>
      </c>
      <c r="K94">
        <f>Table4[[#This Row],['# Count]]*Table4[[#This Row],[activated ratio]]</f>
        <v>768</v>
      </c>
    </row>
    <row r="95" spans="7:11" x14ac:dyDescent="0.25">
      <c r="G95">
        <v>1572864</v>
      </c>
      <c r="H95" t="s">
        <v>220</v>
      </c>
      <c r="I95" t="s">
        <v>146</v>
      </c>
      <c r="J95">
        <v>1</v>
      </c>
      <c r="K95">
        <f>Table4[[#This Row],['# Count]]*Table4[[#This Row],[activated ratio]]</f>
        <v>1572864</v>
      </c>
    </row>
    <row r="96" spans="7:11" x14ac:dyDescent="0.25">
      <c r="G96">
        <v>1572864</v>
      </c>
      <c r="H96" t="s">
        <v>221</v>
      </c>
      <c r="I96" t="s">
        <v>146</v>
      </c>
      <c r="J96">
        <v>1</v>
      </c>
      <c r="K96">
        <f>Table4[[#This Row],['# Count]]*Table4[[#This Row],[activated ratio]]</f>
        <v>1572864</v>
      </c>
    </row>
    <row r="97" spans="7:11" x14ac:dyDescent="0.25">
      <c r="G97">
        <v>1572864</v>
      </c>
      <c r="H97" t="s">
        <v>222</v>
      </c>
      <c r="I97" t="s">
        <v>146</v>
      </c>
      <c r="J97">
        <v>1</v>
      </c>
      <c r="K97">
        <f>Table4[[#This Row],['# Count]]*Table4[[#This Row],[activated ratio]]</f>
        <v>1572864</v>
      </c>
    </row>
    <row r="98" spans="7:11" x14ac:dyDescent="0.25">
      <c r="G98">
        <v>1572864</v>
      </c>
      <c r="H98" t="s">
        <v>223</v>
      </c>
      <c r="I98" t="s">
        <v>150</v>
      </c>
      <c r="J98">
        <v>1</v>
      </c>
      <c r="K98">
        <f>Table4[[#This Row],['# Count]]*Table4[[#This Row],[activated ratio]]</f>
        <v>1572864</v>
      </c>
    </row>
    <row r="99" spans="7:11" x14ac:dyDescent="0.25">
      <c r="G99">
        <v>768</v>
      </c>
      <c r="H99" t="s">
        <v>224</v>
      </c>
      <c r="I99" t="s">
        <v>144</v>
      </c>
      <c r="J99">
        <v>1</v>
      </c>
      <c r="K99">
        <f>Table4[[#This Row],['# Count]]*Table4[[#This Row],[activated ratio]]</f>
        <v>768</v>
      </c>
    </row>
    <row r="100" spans="7:11" x14ac:dyDescent="0.25">
      <c r="G100">
        <v>12288</v>
      </c>
      <c r="H100" t="s">
        <v>225</v>
      </c>
      <c r="I100" t="s">
        <v>153</v>
      </c>
      <c r="J100">
        <v>1</v>
      </c>
      <c r="K100">
        <f>Table4[[#This Row],['# Count]]*Table4[[#This Row],[activated ratio]]</f>
        <v>12288</v>
      </c>
    </row>
    <row r="101" spans="7:11" x14ac:dyDescent="0.25">
      <c r="G101" s="49">
        <v>196608</v>
      </c>
      <c r="H101" s="49" t="s">
        <v>254</v>
      </c>
      <c r="I101" s="49" t="s">
        <v>264</v>
      </c>
      <c r="J101" s="49">
        <v>1</v>
      </c>
      <c r="K101" s="49">
        <f>Table4[[#This Row],['# Count]]*Table4[[#This Row],[activated ratio]]</f>
        <v>196608</v>
      </c>
    </row>
    <row r="102" spans="7:11" x14ac:dyDescent="0.25">
      <c r="G102" s="47">
        <v>4194304</v>
      </c>
      <c r="H102" s="47" t="s">
        <v>226</v>
      </c>
      <c r="I102" s="47" t="s">
        <v>265</v>
      </c>
      <c r="J102" s="47">
        <v>0.125</v>
      </c>
      <c r="K102" s="47">
        <f>Table4[[#This Row],['# Count]]*Table4[[#This Row],[activated ratio]]</f>
        <v>524288</v>
      </c>
    </row>
    <row r="103" spans="7:11" x14ac:dyDescent="0.25">
      <c r="G103" s="47">
        <v>4194304</v>
      </c>
      <c r="H103" s="47" t="s">
        <v>227</v>
      </c>
      <c r="I103" s="47" t="s">
        <v>265</v>
      </c>
      <c r="J103" s="47">
        <v>0.125</v>
      </c>
      <c r="K103" s="47">
        <f>Table4[[#This Row],['# Count]]*Table4[[#This Row],[activated ratio]]</f>
        <v>524288</v>
      </c>
    </row>
    <row r="104" spans="7:11" x14ac:dyDescent="0.25">
      <c r="G104" s="47">
        <v>4194304</v>
      </c>
      <c r="H104" s="47" t="s">
        <v>228</v>
      </c>
      <c r="I104" s="47" t="s">
        <v>266</v>
      </c>
      <c r="J104" s="47">
        <v>0.125</v>
      </c>
      <c r="K104" s="47">
        <f>Table4[[#This Row],['# Count]]*Table4[[#This Row],[activated ratio]]</f>
        <v>524288</v>
      </c>
    </row>
    <row r="105" spans="7:11" x14ac:dyDescent="0.25">
      <c r="G105" s="49">
        <v>196608</v>
      </c>
      <c r="H105" s="49" t="s">
        <v>255</v>
      </c>
      <c r="I105" s="49" t="s">
        <v>267</v>
      </c>
      <c r="J105" s="49">
        <v>1</v>
      </c>
      <c r="K105" s="49">
        <f>Table4[[#This Row],['# Count]]*Table4[[#This Row],[activated ratio]]</f>
        <v>196608</v>
      </c>
    </row>
    <row r="106" spans="7:11" x14ac:dyDescent="0.25">
      <c r="G106">
        <v>768</v>
      </c>
      <c r="H106" t="s">
        <v>229</v>
      </c>
      <c r="I106" t="s">
        <v>144</v>
      </c>
      <c r="J106">
        <v>1</v>
      </c>
      <c r="K106">
        <f>Table4[[#This Row],['# Count]]*Table4[[#This Row],[activated ratio]]</f>
        <v>768</v>
      </c>
    </row>
    <row r="107" spans="7:11" x14ac:dyDescent="0.25">
      <c r="G107">
        <v>24576000</v>
      </c>
      <c r="H107" t="s">
        <v>230</v>
      </c>
      <c r="I107" t="s">
        <v>142</v>
      </c>
      <c r="J107">
        <v>1</v>
      </c>
      <c r="K107">
        <f>Table4[[#This Row],['# Count]]*Table4[[#This Row],[activated ratio]]</f>
        <v>24576000</v>
      </c>
    </row>
    <row r="108" spans="7:11" x14ac:dyDescent="0.25">
      <c r="G108">
        <f>SUBTOTAL(109,Table4['# Count])</f>
        <v>203404032</v>
      </c>
      <c r="K108">
        <f>SUBTOTAL(109,Table4[Activated])</f>
        <v>115323648</v>
      </c>
    </row>
    <row r="110" spans="7:11" x14ac:dyDescent="0.25">
      <c r="J110" t="s">
        <v>269</v>
      </c>
      <c r="K110" s="42">
        <v>3145728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0EE637-CFB1-4F95-B2C0-B3F925C406FC}">
  <dimension ref="G4:K113"/>
  <sheetViews>
    <sheetView topLeftCell="A73" workbookViewId="0">
      <selection activeCell="I6" sqref="I4:I6"/>
    </sheetView>
  </sheetViews>
  <sheetFormatPr defaultRowHeight="15" x14ac:dyDescent="0.25"/>
  <cols>
    <col min="7" max="7" width="12.42578125" bestFit="1" customWidth="1"/>
    <col min="8" max="8" width="40" bestFit="1" customWidth="1"/>
    <col min="9" max="9" width="16.140625" bestFit="1" customWidth="1"/>
    <col min="10" max="10" width="16.28515625" bestFit="1" customWidth="1"/>
    <col min="11" max="11" width="13.28515625" bestFit="1" customWidth="1"/>
  </cols>
  <sheetData>
    <row r="4" spans="7:11" x14ac:dyDescent="0.25">
      <c r="I4" t="s">
        <v>293</v>
      </c>
    </row>
    <row r="5" spans="7:11" x14ac:dyDescent="0.25">
      <c r="I5" t="s">
        <v>257</v>
      </c>
    </row>
    <row r="6" spans="7:11" x14ac:dyDescent="0.25">
      <c r="I6" t="s">
        <v>268</v>
      </c>
    </row>
    <row r="9" spans="7:11" x14ac:dyDescent="0.25">
      <c r="G9" s="1" t="s">
        <v>138</v>
      </c>
      <c r="H9" s="1" t="s">
        <v>139</v>
      </c>
      <c r="I9" s="1" t="s">
        <v>140</v>
      </c>
      <c r="J9" s="1" t="s">
        <v>233</v>
      </c>
      <c r="K9" s="1" t="s">
        <v>235</v>
      </c>
    </row>
    <row r="10" spans="7:11" x14ac:dyDescent="0.25">
      <c r="G10" s="1">
        <v>24576000</v>
      </c>
      <c r="H10" s="1" t="s">
        <v>141</v>
      </c>
      <c r="I10" s="1" t="s">
        <v>142</v>
      </c>
      <c r="J10" s="1">
        <v>1</v>
      </c>
      <c r="K10" s="1">
        <f>Table7[[#This Row],[activated ratio]]*Table7[[#This Row],['# Count]]</f>
        <v>24576000</v>
      </c>
    </row>
    <row r="11" spans="7:11" x14ac:dyDescent="0.25">
      <c r="G11" s="1">
        <v>768</v>
      </c>
      <c r="H11" s="1" t="s">
        <v>143</v>
      </c>
      <c r="I11" s="1" t="s">
        <v>144</v>
      </c>
      <c r="J11" s="1">
        <v>1</v>
      </c>
      <c r="K11" s="1">
        <f>Table7[[#This Row],[activated ratio]]*Table7[[#This Row],['# Count]]</f>
        <v>768</v>
      </c>
    </row>
    <row r="12" spans="7:11" x14ac:dyDescent="0.25">
      <c r="G12" s="1">
        <v>1572864</v>
      </c>
      <c r="H12" s="1" t="s">
        <v>145</v>
      </c>
      <c r="I12" s="1" t="s">
        <v>146</v>
      </c>
      <c r="J12" s="1">
        <v>1</v>
      </c>
      <c r="K12" s="1">
        <f>Table7[[#This Row],[activated ratio]]*Table7[[#This Row],['# Count]]</f>
        <v>1572864</v>
      </c>
    </row>
    <row r="13" spans="7:11" x14ac:dyDescent="0.25">
      <c r="G13" s="1">
        <v>1572864</v>
      </c>
      <c r="H13" s="1" t="s">
        <v>147</v>
      </c>
      <c r="I13" s="1" t="s">
        <v>146</v>
      </c>
      <c r="J13" s="1">
        <v>1</v>
      </c>
      <c r="K13" s="1">
        <f>Table7[[#This Row],[activated ratio]]*Table7[[#This Row],['# Count]]</f>
        <v>1572864</v>
      </c>
    </row>
    <row r="14" spans="7:11" x14ac:dyDescent="0.25">
      <c r="G14" s="1">
        <v>1572864</v>
      </c>
      <c r="H14" s="1" t="s">
        <v>148</v>
      </c>
      <c r="I14" s="1" t="s">
        <v>146</v>
      </c>
      <c r="J14" s="1">
        <v>1</v>
      </c>
      <c r="K14" s="1">
        <f>Table7[[#This Row],[activated ratio]]*Table7[[#This Row],['# Count]]</f>
        <v>1572864</v>
      </c>
    </row>
    <row r="15" spans="7:11" x14ac:dyDescent="0.25">
      <c r="G15" s="1">
        <v>1572864</v>
      </c>
      <c r="H15" s="1" t="s">
        <v>149</v>
      </c>
      <c r="I15" s="1" t="s">
        <v>150</v>
      </c>
      <c r="J15" s="1">
        <v>1</v>
      </c>
      <c r="K15" s="1">
        <f>Table7[[#This Row],[activated ratio]]*Table7[[#This Row],['# Count]]</f>
        <v>1572864</v>
      </c>
    </row>
    <row r="16" spans="7:11" x14ac:dyDescent="0.25">
      <c r="G16" s="1">
        <v>768</v>
      </c>
      <c r="H16" s="1" t="s">
        <v>151</v>
      </c>
      <c r="I16" s="1" t="s">
        <v>144</v>
      </c>
      <c r="J16" s="1">
        <v>1</v>
      </c>
      <c r="K16" s="1">
        <f>Table7[[#This Row],[activated ratio]]*Table7[[#This Row],['# Count]]</f>
        <v>768</v>
      </c>
    </row>
    <row r="17" spans="7:11" x14ac:dyDescent="0.25">
      <c r="G17" s="1">
        <v>36864</v>
      </c>
      <c r="H17" s="1" t="s">
        <v>152</v>
      </c>
      <c r="I17" s="1" t="s">
        <v>290</v>
      </c>
      <c r="J17" s="1">
        <v>1</v>
      </c>
      <c r="K17" s="1">
        <f>Table7[[#This Row],[activated ratio]]*Table7[[#This Row],['# Count]]</f>
        <v>36864</v>
      </c>
    </row>
    <row r="18" spans="7:11" x14ac:dyDescent="0.25">
      <c r="G18" s="52">
        <v>196608</v>
      </c>
      <c r="H18" s="52" t="s">
        <v>236</v>
      </c>
      <c r="I18" s="52" t="s">
        <v>264</v>
      </c>
      <c r="J18" s="52">
        <v>1</v>
      </c>
      <c r="K18" s="52">
        <f>Table7[[#This Row],[activated ratio]]*Table7[[#This Row],['# Count]]</f>
        <v>196608</v>
      </c>
    </row>
    <row r="19" spans="7:11" x14ac:dyDescent="0.25">
      <c r="G19" s="51">
        <v>12582912</v>
      </c>
      <c r="H19" s="51" t="s">
        <v>154</v>
      </c>
      <c r="I19" s="51" t="s">
        <v>291</v>
      </c>
      <c r="J19" s="51">
        <v>4.1666666666666664E-2</v>
      </c>
      <c r="K19" s="51">
        <f>Table7[[#This Row],[activated ratio]]*Table7[[#This Row],['# Count]]</f>
        <v>524288</v>
      </c>
    </row>
    <row r="20" spans="7:11" x14ac:dyDescent="0.25">
      <c r="G20" s="51">
        <v>12582912</v>
      </c>
      <c r="H20" s="51" t="s">
        <v>156</v>
      </c>
      <c r="I20" s="51" t="s">
        <v>291</v>
      </c>
      <c r="J20" s="51">
        <v>4.1666666666666664E-2</v>
      </c>
      <c r="K20" s="51">
        <f>Table7[[#This Row],[activated ratio]]*Table7[[#This Row],['# Count]]</f>
        <v>524288</v>
      </c>
    </row>
    <row r="21" spans="7:11" x14ac:dyDescent="0.25">
      <c r="G21" s="51">
        <v>12582912</v>
      </c>
      <c r="H21" s="51" t="s">
        <v>157</v>
      </c>
      <c r="I21" s="51" t="s">
        <v>292</v>
      </c>
      <c r="J21" s="51">
        <v>4.1666666666666664E-2</v>
      </c>
      <c r="K21" s="51">
        <f>Table7[[#This Row],[activated ratio]]*Table7[[#This Row],['# Count]]</f>
        <v>524288</v>
      </c>
    </row>
    <row r="22" spans="7:11" x14ac:dyDescent="0.25">
      <c r="G22" s="52">
        <v>196608</v>
      </c>
      <c r="H22" s="52" t="s">
        <v>240</v>
      </c>
      <c r="I22" s="52" t="s">
        <v>267</v>
      </c>
      <c r="J22" s="52">
        <v>1</v>
      </c>
      <c r="K22" s="52">
        <f>Table7[[#This Row],[activated ratio]]*Table7[[#This Row],['# Count]]</f>
        <v>196608</v>
      </c>
    </row>
    <row r="23" spans="7:11" x14ac:dyDescent="0.25">
      <c r="G23" s="1">
        <v>768</v>
      </c>
      <c r="H23" s="1" t="s">
        <v>159</v>
      </c>
      <c r="I23" s="1" t="s">
        <v>144</v>
      </c>
      <c r="J23" s="1">
        <v>1</v>
      </c>
      <c r="K23" s="1">
        <f>Table7[[#This Row],[activated ratio]]*Table7[[#This Row],['# Count]]</f>
        <v>768</v>
      </c>
    </row>
    <row r="24" spans="7:11" x14ac:dyDescent="0.25">
      <c r="G24" s="1">
        <v>1572864</v>
      </c>
      <c r="H24" s="1" t="s">
        <v>160</v>
      </c>
      <c r="I24" s="1" t="s">
        <v>146</v>
      </c>
      <c r="J24" s="1">
        <v>1</v>
      </c>
      <c r="K24" s="1">
        <f>Table7[[#This Row],[activated ratio]]*Table7[[#This Row],['# Count]]</f>
        <v>1572864</v>
      </c>
    </row>
    <row r="25" spans="7:11" x14ac:dyDescent="0.25">
      <c r="G25" s="1">
        <v>1572864</v>
      </c>
      <c r="H25" s="1" t="s">
        <v>161</v>
      </c>
      <c r="I25" s="1" t="s">
        <v>146</v>
      </c>
      <c r="J25" s="1">
        <v>1</v>
      </c>
      <c r="K25" s="1">
        <f>Table7[[#This Row],[activated ratio]]*Table7[[#This Row],['# Count]]</f>
        <v>1572864</v>
      </c>
    </row>
    <row r="26" spans="7:11" x14ac:dyDescent="0.25">
      <c r="G26" s="1">
        <v>1572864</v>
      </c>
      <c r="H26" s="1" t="s">
        <v>162</v>
      </c>
      <c r="I26" s="1" t="s">
        <v>146</v>
      </c>
      <c r="J26" s="1">
        <v>1</v>
      </c>
      <c r="K26" s="1">
        <f>Table7[[#This Row],[activated ratio]]*Table7[[#This Row],['# Count]]</f>
        <v>1572864</v>
      </c>
    </row>
    <row r="27" spans="7:11" x14ac:dyDescent="0.25">
      <c r="G27" s="1">
        <v>1572864</v>
      </c>
      <c r="H27" s="1" t="s">
        <v>163</v>
      </c>
      <c r="I27" s="1" t="s">
        <v>150</v>
      </c>
      <c r="J27" s="1">
        <v>1</v>
      </c>
      <c r="K27" s="1">
        <f>Table7[[#This Row],[activated ratio]]*Table7[[#This Row],['# Count]]</f>
        <v>1572864</v>
      </c>
    </row>
    <row r="28" spans="7:11" x14ac:dyDescent="0.25">
      <c r="G28" s="1">
        <v>768</v>
      </c>
      <c r="H28" s="1" t="s">
        <v>164</v>
      </c>
      <c r="I28" s="1" t="s">
        <v>144</v>
      </c>
      <c r="J28" s="1">
        <v>1</v>
      </c>
      <c r="K28" s="1">
        <f>Table7[[#This Row],[activated ratio]]*Table7[[#This Row],['# Count]]</f>
        <v>768</v>
      </c>
    </row>
    <row r="29" spans="7:11" x14ac:dyDescent="0.25">
      <c r="G29" s="1">
        <v>36864</v>
      </c>
      <c r="H29" s="1" t="s">
        <v>165</v>
      </c>
      <c r="I29" s="1" t="s">
        <v>290</v>
      </c>
      <c r="J29" s="1">
        <v>1</v>
      </c>
      <c r="K29" s="1">
        <f>Table7[[#This Row],[activated ratio]]*Table7[[#This Row],['# Count]]</f>
        <v>36864</v>
      </c>
    </row>
    <row r="30" spans="7:11" x14ac:dyDescent="0.25">
      <c r="G30" s="52">
        <v>196608</v>
      </c>
      <c r="H30" s="52" t="s">
        <v>242</v>
      </c>
      <c r="I30" s="52" t="s">
        <v>264</v>
      </c>
      <c r="J30" s="52">
        <v>1</v>
      </c>
      <c r="K30" s="52">
        <f>Table7[[#This Row],[activated ratio]]*Table7[[#This Row],['# Count]]</f>
        <v>196608</v>
      </c>
    </row>
    <row r="31" spans="7:11" x14ac:dyDescent="0.25">
      <c r="G31" s="51">
        <v>12582912</v>
      </c>
      <c r="H31" s="51" t="s">
        <v>166</v>
      </c>
      <c r="I31" s="51" t="s">
        <v>291</v>
      </c>
      <c r="J31" s="51">
        <v>4.1666666666666664E-2</v>
      </c>
      <c r="K31" s="51">
        <f>Table7[[#This Row],[activated ratio]]*Table7[[#This Row],['# Count]]</f>
        <v>524288</v>
      </c>
    </row>
    <row r="32" spans="7:11" x14ac:dyDescent="0.25">
      <c r="G32" s="51">
        <v>12582912</v>
      </c>
      <c r="H32" s="51" t="s">
        <v>167</v>
      </c>
      <c r="I32" s="51" t="s">
        <v>291</v>
      </c>
      <c r="J32" s="51">
        <v>4.1666666666666664E-2</v>
      </c>
      <c r="K32" s="51">
        <f>Table7[[#This Row],[activated ratio]]*Table7[[#This Row],['# Count]]</f>
        <v>524288</v>
      </c>
    </row>
    <row r="33" spans="7:11" x14ac:dyDescent="0.25">
      <c r="G33" s="51">
        <v>12582912</v>
      </c>
      <c r="H33" s="51" t="s">
        <v>168</v>
      </c>
      <c r="I33" s="51" t="s">
        <v>292</v>
      </c>
      <c r="J33" s="51">
        <v>4.1666666666666664E-2</v>
      </c>
      <c r="K33" s="51">
        <f>Table7[[#This Row],[activated ratio]]*Table7[[#This Row],['# Count]]</f>
        <v>524288</v>
      </c>
    </row>
    <row r="34" spans="7:11" x14ac:dyDescent="0.25">
      <c r="G34" s="52">
        <v>196608</v>
      </c>
      <c r="H34" s="52" t="s">
        <v>243</v>
      </c>
      <c r="I34" s="52" t="s">
        <v>267</v>
      </c>
      <c r="J34" s="52">
        <v>1</v>
      </c>
      <c r="K34" s="52">
        <f>Table7[[#This Row],[activated ratio]]*Table7[[#This Row],['# Count]]</f>
        <v>196608</v>
      </c>
    </row>
    <row r="35" spans="7:11" x14ac:dyDescent="0.25">
      <c r="G35" s="1">
        <v>768</v>
      </c>
      <c r="H35" s="1" t="s">
        <v>169</v>
      </c>
      <c r="I35" s="1" t="s">
        <v>144</v>
      </c>
      <c r="J35" s="1">
        <v>1</v>
      </c>
      <c r="K35" s="1">
        <f>Table7[[#This Row],[activated ratio]]*Table7[[#This Row],['# Count]]</f>
        <v>768</v>
      </c>
    </row>
    <row r="36" spans="7:11" x14ac:dyDescent="0.25">
      <c r="G36" s="1">
        <v>1572864</v>
      </c>
      <c r="H36" s="1" t="s">
        <v>170</v>
      </c>
      <c r="I36" s="1" t="s">
        <v>146</v>
      </c>
      <c r="J36" s="1">
        <v>1</v>
      </c>
      <c r="K36" s="1">
        <f>Table7[[#This Row],[activated ratio]]*Table7[[#This Row],['# Count]]</f>
        <v>1572864</v>
      </c>
    </row>
    <row r="37" spans="7:11" x14ac:dyDescent="0.25">
      <c r="G37" s="1">
        <v>1572864</v>
      </c>
      <c r="H37" s="1" t="s">
        <v>171</v>
      </c>
      <c r="I37" s="1" t="s">
        <v>146</v>
      </c>
      <c r="J37" s="1">
        <v>1</v>
      </c>
      <c r="K37" s="1">
        <f>Table7[[#This Row],[activated ratio]]*Table7[[#This Row],['# Count]]</f>
        <v>1572864</v>
      </c>
    </row>
    <row r="38" spans="7:11" x14ac:dyDescent="0.25">
      <c r="G38" s="1">
        <v>1572864</v>
      </c>
      <c r="H38" s="1" t="s">
        <v>172</v>
      </c>
      <c r="I38" s="1" t="s">
        <v>146</v>
      </c>
      <c r="J38" s="1">
        <v>1</v>
      </c>
      <c r="K38" s="1">
        <f>Table7[[#This Row],[activated ratio]]*Table7[[#This Row],['# Count]]</f>
        <v>1572864</v>
      </c>
    </row>
    <row r="39" spans="7:11" x14ac:dyDescent="0.25">
      <c r="G39" s="1">
        <v>1572864</v>
      </c>
      <c r="H39" s="1" t="s">
        <v>173</v>
      </c>
      <c r="I39" s="1" t="s">
        <v>150</v>
      </c>
      <c r="J39" s="1">
        <v>1</v>
      </c>
      <c r="K39" s="1">
        <f>Table7[[#This Row],[activated ratio]]*Table7[[#This Row],['# Count]]</f>
        <v>1572864</v>
      </c>
    </row>
    <row r="40" spans="7:11" x14ac:dyDescent="0.25">
      <c r="G40" s="1">
        <v>768</v>
      </c>
      <c r="H40" s="1" t="s">
        <v>174</v>
      </c>
      <c r="I40" s="1" t="s">
        <v>144</v>
      </c>
      <c r="J40" s="1">
        <v>1</v>
      </c>
      <c r="K40" s="1">
        <f>Table7[[#This Row],[activated ratio]]*Table7[[#This Row],['# Count]]</f>
        <v>768</v>
      </c>
    </row>
    <row r="41" spans="7:11" x14ac:dyDescent="0.25">
      <c r="G41" s="1">
        <v>36864</v>
      </c>
      <c r="H41" s="1" t="s">
        <v>175</v>
      </c>
      <c r="I41" s="1" t="s">
        <v>290</v>
      </c>
      <c r="J41" s="1">
        <v>1</v>
      </c>
      <c r="K41" s="1">
        <f>Table7[[#This Row],[activated ratio]]*Table7[[#This Row],['# Count]]</f>
        <v>36864</v>
      </c>
    </row>
    <row r="42" spans="7:11" x14ac:dyDescent="0.25">
      <c r="G42" s="52">
        <v>196608</v>
      </c>
      <c r="H42" s="52" t="s">
        <v>244</v>
      </c>
      <c r="I42" s="52" t="s">
        <v>264</v>
      </c>
      <c r="J42" s="52">
        <v>1</v>
      </c>
      <c r="K42" s="52">
        <f>Table7[[#This Row],[activated ratio]]*Table7[[#This Row],['# Count]]</f>
        <v>196608</v>
      </c>
    </row>
    <row r="43" spans="7:11" x14ac:dyDescent="0.25">
      <c r="G43" s="51">
        <v>12582912</v>
      </c>
      <c r="H43" s="51" t="s">
        <v>176</v>
      </c>
      <c r="I43" s="51" t="s">
        <v>291</v>
      </c>
      <c r="J43" s="51">
        <v>4.1666666666666664E-2</v>
      </c>
      <c r="K43" s="51">
        <f>Table7[[#This Row],[activated ratio]]*Table7[[#This Row],['# Count]]</f>
        <v>524288</v>
      </c>
    </row>
    <row r="44" spans="7:11" x14ac:dyDescent="0.25">
      <c r="G44" s="51">
        <v>12582912</v>
      </c>
      <c r="H44" s="51" t="s">
        <v>177</v>
      </c>
      <c r="I44" s="51" t="s">
        <v>291</v>
      </c>
      <c r="J44" s="51">
        <v>4.1666666666666664E-2</v>
      </c>
      <c r="K44" s="51">
        <f>Table7[[#This Row],[activated ratio]]*Table7[[#This Row],['# Count]]</f>
        <v>524288</v>
      </c>
    </row>
    <row r="45" spans="7:11" x14ac:dyDescent="0.25">
      <c r="G45" s="51">
        <v>12582912</v>
      </c>
      <c r="H45" s="51" t="s">
        <v>178</v>
      </c>
      <c r="I45" s="51" t="s">
        <v>292</v>
      </c>
      <c r="J45" s="51">
        <v>4.1666666666666664E-2</v>
      </c>
      <c r="K45" s="51">
        <f>Table7[[#This Row],[activated ratio]]*Table7[[#This Row],['# Count]]</f>
        <v>524288</v>
      </c>
    </row>
    <row r="46" spans="7:11" x14ac:dyDescent="0.25">
      <c r="G46" s="52">
        <v>196608</v>
      </c>
      <c r="H46" s="52" t="s">
        <v>245</v>
      </c>
      <c r="I46" s="52" t="s">
        <v>267</v>
      </c>
      <c r="J46" s="52">
        <v>1</v>
      </c>
      <c r="K46" s="52">
        <f>Table7[[#This Row],[activated ratio]]*Table7[[#This Row],['# Count]]</f>
        <v>196608</v>
      </c>
    </row>
    <row r="47" spans="7:11" x14ac:dyDescent="0.25">
      <c r="G47" s="1">
        <v>768</v>
      </c>
      <c r="H47" s="1" t="s">
        <v>179</v>
      </c>
      <c r="I47" s="1" t="s">
        <v>144</v>
      </c>
      <c r="J47" s="1">
        <v>1</v>
      </c>
      <c r="K47" s="1">
        <f>Table7[[#This Row],[activated ratio]]*Table7[[#This Row],['# Count]]</f>
        <v>768</v>
      </c>
    </row>
    <row r="48" spans="7:11" x14ac:dyDescent="0.25">
      <c r="G48" s="1">
        <v>1572864</v>
      </c>
      <c r="H48" s="1" t="s">
        <v>180</v>
      </c>
      <c r="I48" s="1" t="s">
        <v>146</v>
      </c>
      <c r="J48" s="1">
        <v>1</v>
      </c>
      <c r="K48" s="1">
        <f>Table7[[#This Row],[activated ratio]]*Table7[[#This Row],['# Count]]</f>
        <v>1572864</v>
      </c>
    </row>
    <row r="49" spans="7:11" x14ac:dyDescent="0.25">
      <c r="G49" s="1">
        <v>1572864</v>
      </c>
      <c r="H49" s="1" t="s">
        <v>181</v>
      </c>
      <c r="I49" s="1" t="s">
        <v>146</v>
      </c>
      <c r="J49" s="1">
        <v>1</v>
      </c>
      <c r="K49" s="1">
        <f>Table7[[#This Row],[activated ratio]]*Table7[[#This Row],['# Count]]</f>
        <v>1572864</v>
      </c>
    </row>
    <row r="50" spans="7:11" x14ac:dyDescent="0.25">
      <c r="G50" s="1">
        <v>1572864</v>
      </c>
      <c r="H50" s="1" t="s">
        <v>182</v>
      </c>
      <c r="I50" s="1" t="s">
        <v>146</v>
      </c>
      <c r="J50" s="1">
        <v>1</v>
      </c>
      <c r="K50" s="1">
        <f>Table7[[#This Row],[activated ratio]]*Table7[[#This Row],['# Count]]</f>
        <v>1572864</v>
      </c>
    </row>
    <row r="51" spans="7:11" x14ac:dyDescent="0.25">
      <c r="G51" s="1">
        <v>1572864</v>
      </c>
      <c r="H51" s="1" t="s">
        <v>183</v>
      </c>
      <c r="I51" s="1" t="s">
        <v>150</v>
      </c>
      <c r="J51" s="1">
        <v>1</v>
      </c>
      <c r="K51" s="1">
        <f>Table7[[#This Row],[activated ratio]]*Table7[[#This Row],['# Count]]</f>
        <v>1572864</v>
      </c>
    </row>
    <row r="52" spans="7:11" x14ac:dyDescent="0.25">
      <c r="G52" s="1">
        <v>768</v>
      </c>
      <c r="H52" s="1" t="s">
        <v>184</v>
      </c>
      <c r="I52" s="1" t="s">
        <v>144</v>
      </c>
      <c r="J52" s="1">
        <v>1</v>
      </c>
      <c r="K52" s="1">
        <f>Table7[[#This Row],[activated ratio]]*Table7[[#This Row],['# Count]]</f>
        <v>768</v>
      </c>
    </row>
    <row r="53" spans="7:11" x14ac:dyDescent="0.25">
      <c r="G53" s="1">
        <v>36864</v>
      </c>
      <c r="H53" s="1" t="s">
        <v>185</v>
      </c>
      <c r="I53" s="1" t="s">
        <v>290</v>
      </c>
      <c r="J53" s="1">
        <v>1</v>
      </c>
      <c r="K53" s="1">
        <f>Table7[[#This Row],[activated ratio]]*Table7[[#This Row],['# Count]]</f>
        <v>36864</v>
      </c>
    </row>
    <row r="54" spans="7:11" x14ac:dyDescent="0.25">
      <c r="G54" s="52">
        <v>196608</v>
      </c>
      <c r="H54" s="52" t="s">
        <v>246</v>
      </c>
      <c r="I54" s="52" t="s">
        <v>264</v>
      </c>
      <c r="J54" s="52">
        <v>1</v>
      </c>
      <c r="K54" s="52">
        <f>Table7[[#This Row],[activated ratio]]*Table7[[#This Row],['# Count]]</f>
        <v>196608</v>
      </c>
    </row>
    <row r="55" spans="7:11" x14ac:dyDescent="0.25">
      <c r="G55" s="51">
        <v>12582912</v>
      </c>
      <c r="H55" s="51" t="s">
        <v>186</v>
      </c>
      <c r="I55" s="51" t="s">
        <v>291</v>
      </c>
      <c r="J55" s="51">
        <v>4.1666666666666664E-2</v>
      </c>
      <c r="K55" s="51">
        <f>Table7[[#This Row],[activated ratio]]*Table7[[#This Row],['# Count]]</f>
        <v>524288</v>
      </c>
    </row>
    <row r="56" spans="7:11" x14ac:dyDescent="0.25">
      <c r="G56" s="51">
        <v>12582912</v>
      </c>
      <c r="H56" s="51" t="s">
        <v>187</v>
      </c>
      <c r="I56" s="51" t="s">
        <v>291</v>
      </c>
      <c r="J56" s="51">
        <v>4.1666666666666664E-2</v>
      </c>
      <c r="K56" s="51">
        <f>Table7[[#This Row],[activated ratio]]*Table7[[#This Row],['# Count]]</f>
        <v>524288</v>
      </c>
    </row>
    <row r="57" spans="7:11" x14ac:dyDescent="0.25">
      <c r="G57" s="51">
        <v>12582912</v>
      </c>
      <c r="H57" s="51" t="s">
        <v>188</v>
      </c>
      <c r="I57" s="51" t="s">
        <v>292</v>
      </c>
      <c r="J57" s="51">
        <v>4.1666666666666664E-2</v>
      </c>
      <c r="K57" s="51">
        <f>Table7[[#This Row],[activated ratio]]*Table7[[#This Row],['# Count]]</f>
        <v>524288</v>
      </c>
    </row>
    <row r="58" spans="7:11" x14ac:dyDescent="0.25">
      <c r="G58" s="52">
        <v>196608</v>
      </c>
      <c r="H58" s="52" t="s">
        <v>247</v>
      </c>
      <c r="I58" s="52" t="s">
        <v>267</v>
      </c>
      <c r="J58" s="52">
        <v>1</v>
      </c>
      <c r="K58" s="52">
        <f>Table7[[#This Row],[activated ratio]]*Table7[[#This Row],['# Count]]</f>
        <v>196608</v>
      </c>
    </row>
    <row r="59" spans="7:11" x14ac:dyDescent="0.25">
      <c r="G59" s="1">
        <v>768</v>
      </c>
      <c r="H59" s="1" t="s">
        <v>189</v>
      </c>
      <c r="I59" s="1" t="s">
        <v>144</v>
      </c>
      <c r="J59" s="1">
        <v>1</v>
      </c>
      <c r="K59" s="1">
        <f>Table7[[#This Row],[activated ratio]]*Table7[[#This Row],['# Count]]</f>
        <v>768</v>
      </c>
    </row>
    <row r="60" spans="7:11" x14ac:dyDescent="0.25">
      <c r="G60" s="1">
        <v>1572864</v>
      </c>
      <c r="H60" s="1" t="s">
        <v>190</v>
      </c>
      <c r="I60" s="1" t="s">
        <v>146</v>
      </c>
      <c r="J60" s="1">
        <v>1</v>
      </c>
      <c r="K60" s="1">
        <f>Table7[[#This Row],[activated ratio]]*Table7[[#This Row],['# Count]]</f>
        <v>1572864</v>
      </c>
    </row>
    <row r="61" spans="7:11" x14ac:dyDescent="0.25">
      <c r="G61" s="1">
        <v>1572864</v>
      </c>
      <c r="H61" s="1" t="s">
        <v>191</v>
      </c>
      <c r="I61" s="1" t="s">
        <v>146</v>
      </c>
      <c r="J61" s="1">
        <v>1</v>
      </c>
      <c r="K61" s="1">
        <f>Table7[[#This Row],[activated ratio]]*Table7[[#This Row],['# Count]]</f>
        <v>1572864</v>
      </c>
    </row>
    <row r="62" spans="7:11" x14ac:dyDescent="0.25">
      <c r="G62" s="1">
        <v>1572864</v>
      </c>
      <c r="H62" s="1" t="s">
        <v>192</v>
      </c>
      <c r="I62" s="1" t="s">
        <v>146</v>
      </c>
      <c r="J62" s="1">
        <v>1</v>
      </c>
      <c r="K62" s="1">
        <f>Table7[[#This Row],[activated ratio]]*Table7[[#This Row],['# Count]]</f>
        <v>1572864</v>
      </c>
    </row>
    <row r="63" spans="7:11" x14ac:dyDescent="0.25">
      <c r="G63" s="1">
        <v>1572864</v>
      </c>
      <c r="H63" s="1" t="s">
        <v>193</v>
      </c>
      <c r="I63" s="1" t="s">
        <v>150</v>
      </c>
      <c r="J63" s="1">
        <v>1</v>
      </c>
      <c r="K63" s="1">
        <f>Table7[[#This Row],[activated ratio]]*Table7[[#This Row],['# Count]]</f>
        <v>1572864</v>
      </c>
    </row>
    <row r="64" spans="7:11" x14ac:dyDescent="0.25">
      <c r="G64" s="1">
        <v>768</v>
      </c>
      <c r="H64" s="1" t="s">
        <v>194</v>
      </c>
      <c r="I64" s="1" t="s">
        <v>144</v>
      </c>
      <c r="J64" s="1">
        <v>1</v>
      </c>
      <c r="K64" s="1">
        <f>Table7[[#This Row],[activated ratio]]*Table7[[#This Row],['# Count]]</f>
        <v>768</v>
      </c>
    </row>
    <row r="65" spans="7:11" x14ac:dyDescent="0.25">
      <c r="G65" s="1">
        <v>36864</v>
      </c>
      <c r="H65" s="1" t="s">
        <v>195</v>
      </c>
      <c r="I65" s="1" t="s">
        <v>290</v>
      </c>
      <c r="J65" s="1">
        <v>1</v>
      </c>
      <c r="K65" s="1">
        <f>Table7[[#This Row],[activated ratio]]*Table7[[#This Row],['# Count]]</f>
        <v>36864</v>
      </c>
    </row>
    <row r="66" spans="7:11" x14ac:dyDescent="0.25">
      <c r="G66" s="52">
        <v>196608</v>
      </c>
      <c r="H66" s="52" t="s">
        <v>248</v>
      </c>
      <c r="I66" s="52" t="s">
        <v>264</v>
      </c>
      <c r="J66" s="52">
        <v>1</v>
      </c>
      <c r="K66" s="52">
        <f>Table7[[#This Row],[activated ratio]]*Table7[[#This Row],['# Count]]</f>
        <v>196608</v>
      </c>
    </row>
    <row r="67" spans="7:11" x14ac:dyDescent="0.25">
      <c r="G67" s="51">
        <v>12582912</v>
      </c>
      <c r="H67" s="51" t="s">
        <v>196</v>
      </c>
      <c r="I67" s="51" t="s">
        <v>291</v>
      </c>
      <c r="J67" s="51">
        <v>4.1666666666666664E-2</v>
      </c>
      <c r="K67" s="51">
        <f>Table7[[#This Row],[activated ratio]]*Table7[[#This Row],['# Count]]</f>
        <v>524288</v>
      </c>
    </row>
    <row r="68" spans="7:11" x14ac:dyDescent="0.25">
      <c r="G68" s="51">
        <v>12582912</v>
      </c>
      <c r="H68" s="51" t="s">
        <v>197</v>
      </c>
      <c r="I68" s="51" t="s">
        <v>291</v>
      </c>
      <c r="J68" s="51">
        <v>4.1666666666666664E-2</v>
      </c>
      <c r="K68" s="51">
        <f>Table7[[#This Row],[activated ratio]]*Table7[[#This Row],['# Count]]</f>
        <v>524288</v>
      </c>
    </row>
    <row r="69" spans="7:11" x14ac:dyDescent="0.25">
      <c r="G69" s="51">
        <v>12582912</v>
      </c>
      <c r="H69" s="51" t="s">
        <v>198</v>
      </c>
      <c r="I69" s="51" t="s">
        <v>292</v>
      </c>
      <c r="J69" s="51">
        <v>4.1666666666666664E-2</v>
      </c>
      <c r="K69" s="51">
        <f>Table7[[#This Row],[activated ratio]]*Table7[[#This Row],['# Count]]</f>
        <v>524288</v>
      </c>
    </row>
    <row r="70" spans="7:11" x14ac:dyDescent="0.25">
      <c r="G70" s="52">
        <v>196608</v>
      </c>
      <c r="H70" s="52" t="s">
        <v>249</v>
      </c>
      <c r="I70" s="52" t="s">
        <v>267</v>
      </c>
      <c r="J70" s="52">
        <v>1</v>
      </c>
      <c r="K70" s="52">
        <f>Table7[[#This Row],[activated ratio]]*Table7[[#This Row],['# Count]]</f>
        <v>196608</v>
      </c>
    </row>
    <row r="71" spans="7:11" x14ac:dyDescent="0.25">
      <c r="G71" s="1">
        <v>768</v>
      </c>
      <c r="H71" s="1" t="s">
        <v>199</v>
      </c>
      <c r="I71" s="1" t="s">
        <v>144</v>
      </c>
      <c r="J71" s="1">
        <v>1</v>
      </c>
      <c r="K71" s="1">
        <f>Table7[[#This Row],[activated ratio]]*Table7[[#This Row],['# Count]]</f>
        <v>768</v>
      </c>
    </row>
    <row r="72" spans="7:11" x14ac:dyDescent="0.25">
      <c r="G72" s="1">
        <v>1572864</v>
      </c>
      <c r="H72" s="1" t="s">
        <v>200</v>
      </c>
      <c r="I72" s="1" t="s">
        <v>146</v>
      </c>
      <c r="J72" s="1">
        <v>1</v>
      </c>
      <c r="K72" s="1">
        <f>Table7[[#This Row],[activated ratio]]*Table7[[#This Row],['# Count]]</f>
        <v>1572864</v>
      </c>
    </row>
    <row r="73" spans="7:11" x14ac:dyDescent="0.25">
      <c r="G73" s="1">
        <v>1572864</v>
      </c>
      <c r="H73" s="1" t="s">
        <v>201</v>
      </c>
      <c r="I73" s="1" t="s">
        <v>146</v>
      </c>
      <c r="J73" s="1">
        <v>1</v>
      </c>
      <c r="K73" s="1">
        <f>Table7[[#This Row],[activated ratio]]*Table7[[#This Row],['# Count]]</f>
        <v>1572864</v>
      </c>
    </row>
    <row r="74" spans="7:11" x14ac:dyDescent="0.25">
      <c r="G74" s="1">
        <v>1572864</v>
      </c>
      <c r="H74" s="1" t="s">
        <v>202</v>
      </c>
      <c r="I74" s="1" t="s">
        <v>146</v>
      </c>
      <c r="J74" s="1">
        <v>1</v>
      </c>
      <c r="K74" s="1">
        <f>Table7[[#This Row],[activated ratio]]*Table7[[#This Row],['# Count]]</f>
        <v>1572864</v>
      </c>
    </row>
    <row r="75" spans="7:11" x14ac:dyDescent="0.25">
      <c r="G75" s="1">
        <v>1572864</v>
      </c>
      <c r="H75" s="1" t="s">
        <v>203</v>
      </c>
      <c r="I75" s="1" t="s">
        <v>150</v>
      </c>
      <c r="J75" s="1">
        <v>1</v>
      </c>
      <c r="K75" s="1">
        <f>Table7[[#This Row],[activated ratio]]*Table7[[#This Row],['# Count]]</f>
        <v>1572864</v>
      </c>
    </row>
    <row r="76" spans="7:11" x14ac:dyDescent="0.25">
      <c r="G76" s="1">
        <v>768</v>
      </c>
      <c r="H76" s="1" t="s">
        <v>204</v>
      </c>
      <c r="I76" s="1" t="s">
        <v>144</v>
      </c>
      <c r="J76" s="1">
        <v>1</v>
      </c>
      <c r="K76" s="1">
        <f>Table7[[#This Row],[activated ratio]]*Table7[[#This Row],['# Count]]</f>
        <v>768</v>
      </c>
    </row>
    <row r="77" spans="7:11" x14ac:dyDescent="0.25">
      <c r="G77" s="1">
        <v>36864</v>
      </c>
      <c r="H77" s="1" t="s">
        <v>205</v>
      </c>
      <c r="I77" s="1" t="s">
        <v>290</v>
      </c>
      <c r="J77" s="1">
        <v>1</v>
      </c>
      <c r="K77" s="1">
        <f>Table7[[#This Row],[activated ratio]]*Table7[[#This Row],['# Count]]</f>
        <v>36864</v>
      </c>
    </row>
    <row r="78" spans="7:11" x14ac:dyDescent="0.25">
      <c r="G78" s="52">
        <v>196608</v>
      </c>
      <c r="H78" s="52" t="s">
        <v>250</v>
      </c>
      <c r="I78" s="52" t="s">
        <v>264</v>
      </c>
      <c r="J78" s="52">
        <v>1</v>
      </c>
      <c r="K78" s="52">
        <f>Table7[[#This Row],[activated ratio]]*Table7[[#This Row],['# Count]]</f>
        <v>196608</v>
      </c>
    </row>
    <row r="79" spans="7:11" x14ac:dyDescent="0.25">
      <c r="G79" s="51">
        <v>12582912</v>
      </c>
      <c r="H79" s="51" t="s">
        <v>206</v>
      </c>
      <c r="I79" s="51" t="s">
        <v>291</v>
      </c>
      <c r="J79" s="51">
        <v>4.1666666666666664E-2</v>
      </c>
      <c r="K79" s="51">
        <f>Table7[[#This Row],[activated ratio]]*Table7[[#This Row],['# Count]]</f>
        <v>524288</v>
      </c>
    </row>
    <row r="80" spans="7:11" x14ac:dyDescent="0.25">
      <c r="G80" s="51">
        <v>12582912</v>
      </c>
      <c r="H80" s="51" t="s">
        <v>207</v>
      </c>
      <c r="I80" s="51" t="s">
        <v>291</v>
      </c>
      <c r="J80" s="51">
        <v>4.1666666666666664E-2</v>
      </c>
      <c r="K80" s="51">
        <f>Table7[[#This Row],[activated ratio]]*Table7[[#This Row],['# Count]]</f>
        <v>524288</v>
      </c>
    </row>
    <row r="81" spans="7:11" x14ac:dyDescent="0.25">
      <c r="G81" s="51">
        <v>12582912</v>
      </c>
      <c r="H81" s="51" t="s">
        <v>208</v>
      </c>
      <c r="I81" s="51" t="s">
        <v>292</v>
      </c>
      <c r="J81" s="51">
        <v>4.1666666666666664E-2</v>
      </c>
      <c r="K81" s="51">
        <f>Table7[[#This Row],[activated ratio]]*Table7[[#This Row],['# Count]]</f>
        <v>524288</v>
      </c>
    </row>
    <row r="82" spans="7:11" x14ac:dyDescent="0.25">
      <c r="G82" s="52">
        <v>196608</v>
      </c>
      <c r="H82" s="52" t="s">
        <v>251</v>
      </c>
      <c r="I82" s="52" t="s">
        <v>267</v>
      </c>
      <c r="J82" s="52">
        <v>1</v>
      </c>
      <c r="K82" s="52">
        <f>Table7[[#This Row],[activated ratio]]*Table7[[#This Row],['# Count]]</f>
        <v>196608</v>
      </c>
    </row>
    <row r="83" spans="7:11" x14ac:dyDescent="0.25">
      <c r="G83" s="1">
        <v>768</v>
      </c>
      <c r="H83" s="1" t="s">
        <v>209</v>
      </c>
      <c r="I83" s="1" t="s">
        <v>144</v>
      </c>
      <c r="J83" s="1">
        <v>1</v>
      </c>
      <c r="K83" s="1">
        <f>Table7[[#This Row],[activated ratio]]*Table7[[#This Row],['# Count]]</f>
        <v>768</v>
      </c>
    </row>
    <row r="84" spans="7:11" x14ac:dyDescent="0.25">
      <c r="G84" s="1">
        <v>1572864</v>
      </c>
      <c r="H84" s="1" t="s">
        <v>210</v>
      </c>
      <c r="I84" s="1" t="s">
        <v>146</v>
      </c>
      <c r="J84" s="1">
        <v>1</v>
      </c>
      <c r="K84" s="1">
        <f>Table7[[#This Row],[activated ratio]]*Table7[[#This Row],['# Count]]</f>
        <v>1572864</v>
      </c>
    </row>
    <row r="85" spans="7:11" x14ac:dyDescent="0.25">
      <c r="G85" s="1">
        <v>1572864</v>
      </c>
      <c r="H85" s="1" t="s">
        <v>211</v>
      </c>
      <c r="I85" s="1" t="s">
        <v>146</v>
      </c>
      <c r="J85" s="1">
        <v>1</v>
      </c>
      <c r="K85" s="1">
        <f>Table7[[#This Row],[activated ratio]]*Table7[[#This Row],['# Count]]</f>
        <v>1572864</v>
      </c>
    </row>
    <row r="86" spans="7:11" x14ac:dyDescent="0.25">
      <c r="G86" s="1">
        <v>1572864</v>
      </c>
      <c r="H86" s="1" t="s">
        <v>212</v>
      </c>
      <c r="I86" s="1" t="s">
        <v>146</v>
      </c>
      <c r="J86" s="1">
        <v>1</v>
      </c>
      <c r="K86" s="1">
        <f>Table7[[#This Row],[activated ratio]]*Table7[[#This Row],['# Count]]</f>
        <v>1572864</v>
      </c>
    </row>
    <row r="87" spans="7:11" x14ac:dyDescent="0.25">
      <c r="G87" s="1">
        <v>1572864</v>
      </c>
      <c r="H87" s="1" t="s">
        <v>213</v>
      </c>
      <c r="I87" s="1" t="s">
        <v>150</v>
      </c>
      <c r="J87" s="1">
        <v>1</v>
      </c>
      <c r="K87" s="1">
        <f>Table7[[#This Row],[activated ratio]]*Table7[[#This Row],['# Count]]</f>
        <v>1572864</v>
      </c>
    </row>
    <row r="88" spans="7:11" x14ac:dyDescent="0.25">
      <c r="G88" s="1">
        <v>768</v>
      </c>
      <c r="H88" s="1" t="s">
        <v>214</v>
      </c>
      <c r="I88" s="1" t="s">
        <v>144</v>
      </c>
      <c r="J88" s="1">
        <v>1</v>
      </c>
      <c r="K88" s="1">
        <f>Table7[[#This Row],[activated ratio]]*Table7[[#This Row],['# Count]]</f>
        <v>768</v>
      </c>
    </row>
    <row r="89" spans="7:11" x14ac:dyDescent="0.25">
      <c r="G89" s="1">
        <v>36864</v>
      </c>
      <c r="H89" s="1" t="s">
        <v>215</v>
      </c>
      <c r="I89" s="1" t="s">
        <v>290</v>
      </c>
      <c r="J89" s="1">
        <v>1</v>
      </c>
      <c r="K89" s="1">
        <f>Table7[[#This Row],[activated ratio]]*Table7[[#This Row],['# Count]]</f>
        <v>36864</v>
      </c>
    </row>
    <row r="90" spans="7:11" x14ac:dyDescent="0.25">
      <c r="G90" s="52">
        <v>196608</v>
      </c>
      <c r="H90" s="52" t="s">
        <v>252</v>
      </c>
      <c r="I90" s="52" t="s">
        <v>264</v>
      </c>
      <c r="J90" s="52">
        <v>1</v>
      </c>
      <c r="K90" s="52">
        <f>Table7[[#This Row],[activated ratio]]*Table7[[#This Row],['# Count]]</f>
        <v>196608</v>
      </c>
    </row>
    <row r="91" spans="7:11" x14ac:dyDescent="0.25">
      <c r="G91" s="51">
        <v>12582912</v>
      </c>
      <c r="H91" s="51" t="s">
        <v>216</v>
      </c>
      <c r="I91" s="51" t="s">
        <v>291</v>
      </c>
      <c r="J91" s="51">
        <v>4.1666666666666664E-2</v>
      </c>
      <c r="K91" s="51">
        <f>Table7[[#This Row],[activated ratio]]*Table7[[#This Row],['# Count]]</f>
        <v>524288</v>
      </c>
    </row>
    <row r="92" spans="7:11" x14ac:dyDescent="0.25">
      <c r="G92" s="51">
        <v>12582912</v>
      </c>
      <c r="H92" s="51" t="s">
        <v>217</v>
      </c>
      <c r="I92" s="51" t="s">
        <v>291</v>
      </c>
      <c r="J92" s="51">
        <v>4.1666666666666664E-2</v>
      </c>
      <c r="K92" s="51">
        <f>Table7[[#This Row],[activated ratio]]*Table7[[#This Row],['# Count]]</f>
        <v>524288</v>
      </c>
    </row>
    <row r="93" spans="7:11" x14ac:dyDescent="0.25">
      <c r="G93" s="51">
        <v>12582912</v>
      </c>
      <c r="H93" s="51" t="s">
        <v>218</v>
      </c>
      <c r="I93" s="51" t="s">
        <v>292</v>
      </c>
      <c r="J93" s="51">
        <v>4.1666666666666664E-2</v>
      </c>
      <c r="K93" s="51">
        <f>Table7[[#This Row],[activated ratio]]*Table7[[#This Row],['# Count]]</f>
        <v>524288</v>
      </c>
    </row>
    <row r="94" spans="7:11" x14ac:dyDescent="0.25">
      <c r="G94" s="52">
        <v>196608</v>
      </c>
      <c r="H94" s="52" t="s">
        <v>253</v>
      </c>
      <c r="I94" s="52" t="s">
        <v>267</v>
      </c>
      <c r="J94" s="52">
        <v>1</v>
      </c>
      <c r="K94" s="52">
        <f>Table7[[#This Row],[activated ratio]]*Table7[[#This Row],['# Count]]</f>
        <v>196608</v>
      </c>
    </row>
    <row r="95" spans="7:11" x14ac:dyDescent="0.25">
      <c r="G95" s="1">
        <v>768</v>
      </c>
      <c r="H95" s="1" t="s">
        <v>219</v>
      </c>
      <c r="I95" s="1" t="s">
        <v>144</v>
      </c>
      <c r="J95" s="1">
        <v>1</v>
      </c>
      <c r="K95" s="1">
        <f>Table7[[#This Row],[activated ratio]]*Table7[[#This Row],['# Count]]</f>
        <v>768</v>
      </c>
    </row>
    <row r="96" spans="7:11" x14ac:dyDescent="0.25">
      <c r="G96" s="1">
        <v>1572864</v>
      </c>
      <c r="H96" s="1" t="s">
        <v>220</v>
      </c>
      <c r="I96" s="1" t="s">
        <v>146</v>
      </c>
      <c r="J96" s="1">
        <v>1</v>
      </c>
      <c r="K96" s="1">
        <f>Table7[[#This Row],[activated ratio]]*Table7[[#This Row],['# Count]]</f>
        <v>1572864</v>
      </c>
    </row>
    <row r="97" spans="7:11" x14ac:dyDescent="0.25">
      <c r="G97" s="1">
        <v>1572864</v>
      </c>
      <c r="H97" s="1" t="s">
        <v>221</v>
      </c>
      <c r="I97" s="1" t="s">
        <v>146</v>
      </c>
      <c r="J97" s="1">
        <v>1</v>
      </c>
      <c r="K97" s="1">
        <f>Table7[[#This Row],[activated ratio]]*Table7[[#This Row],['# Count]]</f>
        <v>1572864</v>
      </c>
    </row>
    <row r="98" spans="7:11" x14ac:dyDescent="0.25">
      <c r="G98" s="1">
        <v>1572864</v>
      </c>
      <c r="H98" s="1" t="s">
        <v>222</v>
      </c>
      <c r="I98" s="1" t="s">
        <v>146</v>
      </c>
      <c r="J98" s="1">
        <v>1</v>
      </c>
      <c r="K98" s="1">
        <f>Table7[[#This Row],[activated ratio]]*Table7[[#This Row],['# Count]]</f>
        <v>1572864</v>
      </c>
    </row>
    <row r="99" spans="7:11" x14ac:dyDescent="0.25">
      <c r="G99" s="1">
        <v>1572864</v>
      </c>
      <c r="H99" s="1" t="s">
        <v>223</v>
      </c>
      <c r="I99" s="1" t="s">
        <v>150</v>
      </c>
      <c r="J99" s="1">
        <v>1</v>
      </c>
      <c r="K99" s="1">
        <f>Table7[[#This Row],[activated ratio]]*Table7[[#This Row],['# Count]]</f>
        <v>1572864</v>
      </c>
    </row>
    <row r="100" spans="7:11" x14ac:dyDescent="0.25">
      <c r="G100" s="1">
        <v>768</v>
      </c>
      <c r="H100" s="1" t="s">
        <v>224</v>
      </c>
      <c r="I100" s="1" t="s">
        <v>144</v>
      </c>
      <c r="J100" s="1">
        <v>1</v>
      </c>
      <c r="K100" s="1">
        <f>Table7[[#This Row],[activated ratio]]*Table7[[#This Row],['# Count]]</f>
        <v>768</v>
      </c>
    </row>
    <row r="101" spans="7:11" x14ac:dyDescent="0.25">
      <c r="G101" s="1">
        <v>36864</v>
      </c>
      <c r="H101" s="1" t="s">
        <v>225</v>
      </c>
      <c r="I101" s="1" t="s">
        <v>290</v>
      </c>
      <c r="J101" s="1">
        <v>1</v>
      </c>
      <c r="K101" s="1">
        <f>Table7[[#This Row],[activated ratio]]*Table7[[#This Row],['# Count]]</f>
        <v>36864</v>
      </c>
    </row>
    <row r="102" spans="7:11" x14ac:dyDescent="0.25">
      <c r="G102" s="52">
        <v>196608</v>
      </c>
      <c r="H102" s="52" t="s">
        <v>254</v>
      </c>
      <c r="I102" s="52" t="s">
        <v>264</v>
      </c>
      <c r="J102" s="52">
        <v>1</v>
      </c>
      <c r="K102" s="52">
        <f>Table7[[#This Row],[activated ratio]]*Table7[[#This Row],['# Count]]</f>
        <v>196608</v>
      </c>
    </row>
    <row r="103" spans="7:11" x14ac:dyDescent="0.25">
      <c r="G103" s="51">
        <v>12582912</v>
      </c>
      <c r="H103" s="51" t="s">
        <v>226</v>
      </c>
      <c r="I103" s="51" t="s">
        <v>291</v>
      </c>
      <c r="J103" s="51">
        <v>4.1666666666666664E-2</v>
      </c>
      <c r="K103" s="51">
        <f>Table7[[#This Row],[activated ratio]]*Table7[[#This Row],['# Count]]</f>
        <v>524288</v>
      </c>
    </row>
    <row r="104" spans="7:11" x14ac:dyDescent="0.25">
      <c r="G104" s="51">
        <v>12582912</v>
      </c>
      <c r="H104" s="51" t="s">
        <v>227</v>
      </c>
      <c r="I104" s="51" t="s">
        <v>291</v>
      </c>
      <c r="J104" s="51">
        <v>4.1666666666666664E-2</v>
      </c>
      <c r="K104" s="51">
        <f>Table7[[#This Row],[activated ratio]]*Table7[[#This Row],['# Count]]</f>
        <v>524288</v>
      </c>
    </row>
    <row r="105" spans="7:11" x14ac:dyDescent="0.25">
      <c r="G105" s="51">
        <v>12582912</v>
      </c>
      <c r="H105" s="51" t="s">
        <v>228</v>
      </c>
      <c r="I105" s="51" t="s">
        <v>292</v>
      </c>
      <c r="J105" s="51">
        <v>4.1666666666666664E-2</v>
      </c>
      <c r="K105" s="51">
        <f>Table7[[#This Row],[activated ratio]]*Table7[[#This Row],['# Count]]</f>
        <v>524288</v>
      </c>
    </row>
    <row r="106" spans="7:11" x14ac:dyDescent="0.25">
      <c r="G106" s="52">
        <v>196608</v>
      </c>
      <c r="H106" s="52" t="s">
        <v>255</v>
      </c>
      <c r="I106" s="52" t="s">
        <v>267</v>
      </c>
      <c r="J106" s="52">
        <v>1</v>
      </c>
      <c r="K106" s="52">
        <f>Table7[[#This Row],[activated ratio]]*Table7[[#This Row],['# Count]]</f>
        <v>196608</v>
      </c>
    </row>
    <row r="107" spans="7:11" x14ac:dyDescent="0.25">
      <c r="G107" s="1">
        <v>768</v>
      </c>
      <c r="H107" s="1" t="s">
        <v>229</v>
      </c>
      <c r="I107" s="1" t="s">
        <v>144</v>
      </c>
      <c r="J107" s="1">
        <v>1</v>
      </c>
      <c r="K107" s="1">
        <f>Table7[[#This Row],[activated ratio]]*Table7[[#This Row],['# Count]]</f>
        <v>768</v>
      </c>
    </row>
    <row r="108" spans="7:11" x14ac:dyDescent="0.25">
      <c r="G108" s="1">
        <v>24576000</v>
      </c>
      <c r="H108" s="1" t="s">
        <v>230</v>
      </c>
      <c r="I108" s="1" t="s">
        <v>142</v>
      </c>
      <c r="J108" s="1">
        <v>1</v>
      </c>
      <c r="K108" s="1">
        <f>Table7[[#This Row],[activated ratio]]*Table7[[#This Row],['# Count]]</f>
        <v>24576000</v>
      </c>
    </row>
    <row r="109" spans="7:11" x14ac:dyDescent="0.25">
      <c r="G109" s="1">
        <f>SUBTOTAL(109,Table7['# Count])</f>
        <v>404927232</v>
      </c>
      <c r="H109" s="1"/>
      <c r="I109" s="1"/>
      <c r="J109" s="1"/>
      <c r="K109" s="1">
        <f>SUBTOTAL(109,Table7[activated])</f>
        <v>115520256</v>
      </c>
    </row>
    <row r="113" spans="10:11" x14ac:dyDescent="0.25">
      <c r="J113" t="s">
        <v>269</v>
      </c>
      <c r="K113" s="42">
        <v>3145728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61ECF-CDFC-4007-A3CB-EA5307A756ED}">
  <dimension ref="F3:J109"/>
  <sheetViews>
    <sheetView workbookViewId="0">
      <selection activeCell="H5" sqref="H3:H5"/>
    </sheetView>
  </sheetViews>
  <sheetFormatPr defaultRowHeight="15" x14ac:dyDescent="0.25"/>
  <cols>
    <col min="6" max="6" width="12.42578125" bestFit="1" customWidth="1"/>
    <col min="7" max="7" width="40" bestFit="1" customWidth="1"/>
    <col min="8" max="8" width="16.140625" bestFit="1" customWidth="1"/>
    <col min="9" max="9" width="16.28515625" bestFit="1" customWidth="1"/>
    <col min="10" max="10" width="16.5703125" customWidth="1"/>
  </cols>
  <sheetData>
    <row r="3" spans="6:10" x14ac:dyDescent="0.25">
      <c r="H3" t="s">
        <v>293</v>
      </c>
    </row>
    <row r="4" spans="6:10" x14ac:dyDescent="0.25">
      <c r="H4" t="s">
        <v>295</v>
      </c>
    </row>
    <row r="5" spans="6:10" x14ac:dyDescent="0.25">
      <c r="H5" t="s">
        <v>268</v>
      </c>
    </row>
    <row r="7" spans="6:10" x14ac:dyDescent="0.25">
      <c r="F7" t="s">
        <v>138</v>
      </c>
      <c r="G7" t="s">
        <v>139</v>
      </c>
      <c r="H7" t="s">
        <v>140</v>
      </c>
      <c r="I7" t="s">
        <v>233</v>
      </c>
      <c r="J7" t="s">
        <v>235</v>
      </c>
    </row>
    <row r="8" spans="6:10" x14ac:dyDescent="0.25">
      <c r="F8">
        <v>24576000</v>
      </c>
      <c r="G8" t="s">
        <v>141</v>
      </c>
      <c r="H8" t="s">
        <v>142</v>
      </c>
      <c r="I8">
        <v>1</v>
      </c>
      <c r="J8">
        <f>Table8[[#This Row],[activated ratio]]*Table8[[#This Row],['# Count]]</f>
        <v>24576000</v>
      </c>
    </row>
    <row r="9" spans="6:10" x14ac:dyDescent="0.25">
      <c r="F9">
        <v>768</v>
      </c>
      <c r="G9" t="s">
        <v>143</v>
      </c>
      <c r="H9" t="s">
        <v>144</v>
      </c>
      <c r="I9">
        <v>1</v>
      </c>
      <c r="J9">
        <f>Table8[[#This Row],[activated ratio]]*Table8[[#This Row],['# Count]]</f>
        <v>768</v>
      </c>
    </row>
    <row r="10" spans="6:10" x14ac:dyDescent="0.25">
      <c r="F10">
        <v>1572864</v>
      </c>
      <c r="G10" t="s">
        <v>145</v>
      </c>
      <c r="H10" t="s">
        <v>146</v>
      </c>
      <c r="I10">
        <v>1</v>
      </c>
      <c r="J10">
        <f>Table8[[#This Row],[activated ratio]]*Table8[[#This Row],['# Count]]</f>
        <v>1572864</v>
      </c>
    </row>
    <row r="11" spans="6:10" x14ac:dyDescent="0.25">
      <c r="F11">
        <v>1572864</v>
      </c>
      <c r="G11" t="s">
        <v>147</v>
      </c>
      <c r="H11" t="s">
        <v>146</v>
      </c>
      <c r="I11">
        <v>1</v>
      </c>
      <c r="J11">
        <f>Table8[[#This Row],[activated ratio]]*Table8[[#This Row],['# Count]]</f>
        <v>1572864</v>
      </c>
    </row>
    <row r="12" spans="6:10" x14ac:dyDescent="0.25">
      <c r="F12">
        <v>1572864</v>
      </c>
      <c r="G12" t="s">
        <v>148</v>
      </c>
      <c r="H12" t="s">
        <v>146</v>
      </c>
      <c r="I12">
        <v>1</v>
      </c>
      <c r="J12">
        <f>Table8[[#This Row],[activated ratio]]*Table8[[#This Row],['# Count]]</f>
        <v>1572864</v>
      </c>
    </row>
    <row r="13" spans="6:10" x14ac:dyDescent="0.25">
      <c r="F13">
        <v>1572864</v>
      </c>
      <c r="G13" t="s">
        <v>149</v>
      </c>
      <c r="H13" t="s">
        <v>150</v>
      </c>
      <c r="I13">
        <v>1</v>
      </c>
      <c r="J13">
        <f>Table8[[#This Row],[activated ratio]]*Table8[[#This Row],['# Count]]</f>
        <v>1572864</v>
      </c>
    </row>
    <row r="14" spans="6:10" x14ac:dyDescent="0.25">
      <c r="F14">
        <v>768</v>
      </c>
      <c r="G14" t="s">
        <v>151</v>
      </c>
      <c r="H14" t="s">
        <v>144</v>
      </c>
      <c r="I14">
        <v>1</v>
      </c>
      <c r="J14">
        <f>Table8[[#This Row],[activated ratio]]*Table8[[#This Row],['# Count]]</f>
        <v>768</v>
      </c>
    </row>
    <row r="15" spans="6:10" x14ac:dyDescent="0.25">
      <c r="F15">
        <v>36864</v>
      </c>
      <c r="G15" t="s">
        <v>152</v>
      </c>
      <c r="H15" t="s">
        <v>290</v>
      </c>
      <c r="I15">
        <v>1</v>
      </c>
      <c r="J15">
        <f>Table8[[#This Row],[activated ratio]]*Table8[[#This Row],['# Count]]</f>
        <v>36864</v>
      </c>
    </row>
    <row r="16" spans="6:10" x14ac:dyDescent="0.25">
      <c r="F16" s="49">
        <v>196608</v>
      </c>
      <c r="G16" s="49" t="s">
        <v>236</v>
      </c>
      <c r="H16" s="49" t="s">
        <v>264</v>
      </c>
      <c r="I16" s="49">
        <v>1</v>
      </c>
      <c r="J16" s="49">
        <f>Table8[[#This Row],[activated ratio]]*Table8[[#This Row],['# Count]]</f>
        <v>196608</v>
      </c>
    </row>
    <row r="17" spans="6:10" x14ac:dyDescent="0.25">
      <c r="F17" s="47">
        <v>12582912</v>
      </c>
      <c r="G17" s="47" t="s">
        <v>154</v>
      </c>
      <c r="H17" s="47" t="s">
        <v>291</v>
      </c>
      <c r="I17" s="47">
        <v>0.125</v>
      </c>
      <c r="J17" s="47">
        <f>Table8[[#This Row],[activated ratio]]*Table8[[#This Row],['# Count]]</f>
        <v>1572864</v>
      </c>
    </row>
    <row r="18" spans="6:10" x14ac:dyDescent="0.25">
      <c r="F18" s="47">
        <v>12582912</v>
      </c>
      <c r="G18" s="47" t="s">
        <v>156</v>
      </c>
      <c r="H18" s="47" t="s">
        <v>291</v>
      </c>
      <c r="I18" s="47">
        <v>0.125</v>
      </c>
      <c r="J18" s="47">
        <f>Table8[[#This Row],[activated ratio]]*Table8[[#This Row],['# Count]]</f>
        <v>1572864</v>
      </c>
    </row>
    <row r="19" spans="6:10" x14ac:dyDescent="0.25">
      <c r="F19" s="47">
        <v>12582912</v>
      </c>
      <c r="G19" s="47" t="s">
        <v>157</v>
      </c>
      <c r="H19" s="47" t="s">
        <v>292</v>
      </c>
      <c r="I19" s="47">
        <v>0.125</v>
      </c>
      <c r="J19" s="47">
        <f>Table8[[#This Row],[activated ratio]]*Table8[[#This Row],['# Count]]</f>
        <v>1572864</v>
      </c>
    </row>
    <row r="20" spans="6:10" x14ac:dyDescent="0.25">
      <c r="F20" s="49">
        <v>196608</v>
      </c>
      <c r="G20" s="49" t="s">
        <v>240</v>
      </c>
      <c r="H20" s="49" t="s">
        <v>267</v>
      </c>
      <c r="I20" s="49">
        <v>1</v>
      </c>
      <c r="J20" s="49">
        <f>Table8[[#This Row],[activated ratio]]*Table8[[#This Row],['# Count]]</f>
        <v>196608</v>
      </c>
    </row>
    <row r="21" spans="6:10" x14ac:dyDescent="0.25">
      <c r="F21">
        <v>768</v>
      </c>
      <c r="G21" t="s">
        <v>159</v>
      </c>
      <c r="H21" t="s">
        <v>144</v>
      </c>
      <c r="I21">
        <v>1</v>
      </c>
      <c r="J21">
        <f>Table8[[#This Row],[activated ratio]]*Table8[[#This Row],['# Count]]</f>
        <v>768</v>
      </c>
    </row>
    <row r="22" spans="6:10" x14ac:dyDescent="0.25">
      <c r="F22">
        <v>1572864</v>
      </c>
      <c r="G22" t="s">
        <v>160</v>
      </c>
      <c r="H22" t="s">
        <v>146</v>
      </c>
      <c r="I22">
        <v>1</v>
      </c>
      <c r="J22">
        <f>Table8[[#This Row],[activated ratio]]*Table8[[#This Row],['# Count]]</f>
        <v>1572864</v>
      </c>
    </row>
    <row r="23" spans="6:10" x14ac:dyDescent="0.25">
      <c r="F23">
        <v>1572864</v>
      </c>
      <c r="G23" t="s">
        <v>161</v>
      </c>
      <c r="H23" t="s">
        <v>146</v>
      </c>
      <c r="I23">
        <v>1</v>
      </c>
      <c r="J23">
        <f>Table8[[#This Row],[activated ratio]]*Table8[[#This Row],['# Count]]</f>
        <v>1572864</v>
      </c>
    </row>
    <row r="24" spans="6:10" x14ac:dyDescent="0.25">
      <c r="F24">
        <v>1572864</v>
      </c>
      <c r="G24" t="s">
        <v>162</v>
      </c>
      <c r="H24" t="s">
        <v>146</v>
      </c>
      <c r="I24">
        <v>1</v>
      </c>
      <c r="J24">
        <f>Table8[[#This Row],[activated ratio]]*Table8[[#This Row],['# Count]]</f>
        <v>1572864</v>
      </c>
    </row>
    <row r="25" spans="6:10" x14ac:dyDescent="0.25">
      <c r="F25">
        <v>1572864</v>
      </c>
      <c r="G25" t="s">
        <v>163</v>
      </c>
      <c r="H25" t="s">
        <v>150</v>
      </c>
      <c r="I25">
        <v>1</v>
      </c>
      <c r="J25">
        <f>Table8[[#This Row],[activated ratio]]*Table8[[#This Row],['# Count]]</f>
        <v>1572864</v>
      </c>
    </row>
    <row r="26" spans="6:10" x14ac:dyDescent="0.25">
      <c r="F26">
        <v>768</v>
      </c>
      <c r="G26" t="s">
        <v>164</v>
      </c>
      <c r="H26" t="s">
        <v>144</v>
      </c>
      <c r="I26">
        <v>1</v>
      </c>
      <c r="J26">
        <f>Table8[[#This Row],[activated ratio]]*Table8[[#This Row],['# Count]]</f>
        <v>768</v>
      </c>
    </row>
    <row r="27" spans="6:10" x14ac:dyDescent="0.25">
      <c r="F27">
        <v>36864</v>
      </c>
      <c r="G27" t="s">
        <v>165</v>
      </c>
      <c r="H27" t="s">
        <v>290</v>
      </c>
      <c r="I27">
        <v>1</v>
      </c>
      <c r="J27">
        <f>Table8[[#This Row],[activated ratio]]*Table8[[#This Row],['# Count]]</f>
        <v>36864</v>
      </c>
    </row>
    <row r="28" spans="6:10" x14ac:dyDescent="0.25">
      <c r="F28" s="49">
        <v>196608</v>
      </c>
      <c r="G28" s="49" t="s">
        <v>242</v>
      </c>
      <c r="H28" s="49" t="s">
        <v>264</v>
      </c>
      <c r="I28" s="49">
        <v>1</v>
      </c>
      <c r="J28" s="49">
        <f>Table8[[#This Row],[activated ratio]]*Table8[[#This Row],['# Count]]</f>
        <v>196608</v>
      </c>
    </row>
    <row r="29" spans="6:10" x14ac:dyDescent="0.25">
      <c r="F29" s="47">
        <v>12582912</v>
      </c>
      <c r="G29" s="47" t="s">
        <v>166</v>
      </c>
      <c r="H29" s="47" t="s">
        <v>291</v>
      </c>
      <c r="I29" s="47">
        <v>0.125</v>
      </c>
      <c r="J29" s="47">
        <f>Table8[[#This Row],[activated ratio]]*Table8[[#This Row],['# Count]]</f>
        <v>1572864</v>
      </c>
    </row>
    <row r="30" spans="6:10" x14ac:dyDescent="0.25">
      <c r="F30" s="47">
        <v>12582912</v>
      </c>
      <c r="G30" s="47" t="s">
        <v>167</v>
      </c>
      <c r="H30" s="47" t="s">
        <v>291</v>
      </c>
      <c r="I30" s="47">
        <v>0.125</v>
      </c>
      <c r="J30" s="47">
        <f>Table8[[#This Row],[activated ratio]]*Table8[[#This Row],['# Count]]</f>
        <v>1572864</v>
      </c>
    </row>
    <row r="31" spans="6:10" x14ac:dyDescent="0.25">
      <c r="F31" s="47">
        <v>12582912</v>
      </c>
      <c r="G31" s="47" t="s">
        <v>168</v>
      </c>
      <c r="H31" s="47" t="s">
        <v>292</v>
      </c>
      <c r="I31" s="47">
        <v>0.125</v>
      </c>
      <c r="J31" s="47">
        <f>Table8[[#This Row],[activated ratio]]*Table8[[#This Row],['# Count]]</f>
        <v>1572864</v>
      </c>
    </row>
    <row r="32" spans="6:10" x14ac:dyDescent="0.25">
      <c r="F32" s="49">
        <v>196608</v>
      </c>
      <c r="G32" s="49" t="s">
        <v>243</v>
      </c>
      <c r="H32" s="49" t="s">
        <v>267</v>
      </c>
      <c r="I32" s="49">
        <v>1</v>
      </c>
      <c r="J32" s="49">
        <f>Table8[[#This Row],[activated ratio]]*Table8[[#This Row],['# Count]]</f>
        <v>196608</v>
      </c>
    </row>
    <row r="33" spans="6:10" x14ac:dyDescent="0.25">
      <c r="F33">
        <v>768</v>
      </c>
      <c r="G33" t="s">
        <v>169</v>
      </c>
      <c r="H33" t="s">
        <v>144</v>
      </c>
      <c r="I33">
        <v>1</v>
      </c>
      <c r="J33">
        <f>Table8[[#This Row],[activated ratio]]*Table8[[#This Row],['# Count]]</f>
        <v>768</v>
      </c>
    </row>
    <row r="34" spans="6:10" x14ac:dyDescent="0.25">
      <c r="F34">
        <v>1572864</v>
      </c>
      <c r="G34" t="s">
        <v>170</v>
      </c>
      <c r="H34" t="s">
        <v>146</v>
      </c>
      <c r="I34">
        <v>1</v>
      </c>
      <c r="J34">
        <f>Table8[[#This Row],[activated ratio]]*Table8[[#This Row],['# Count]]</f>
        <v>1572864</v>
      </c>
    </row>
    <row r="35" spans="6:10" x14ac:dyDescent="0.25">
      <c r="F35">
        <v>1572864</v>
      </c>
      <c r="G35" t="s">
        <v>171</v>
      </c>
      <c r="H35" t="s">
        <v>146</v>
      </c>
      <c r="I35">
        <v>1</v>
      </c>
      <c r="J35">
        <f>Table8[[#This Row],[activated ratio]]*Table8[[#This Row],['# Count]]</f>
        <v>1572864</v>
      </c>
    </row>
    <row r="36" spans="6:10" x14ac:dyDescent="0.25">
      <c r="F36">
        <v>1572864</v>
      </c>
      <c r="G36" t="s">
        <v>172</v>
      </c>
      <c r="H36" t="s">
        <v>146</v>
      </c>
      <c r="I36">
        <v>1</v>
      </c>
      <c r="J36">
        <f>Table8[[#This Row],[activated ratio]]*Table8[[#This Row],['# Count]]</f>
        <v>1572864</v>
      </c>
    </row>
    <row r="37" spans="6:10" x14ac:dyDescent="0.25">
      <c r="F37">
        <v>1572864</v>
      </c>
      <c r="G37" t="s">
        <v>173</v>
      </c>
      <c r="H37" t="s">
        <v>150</v>
      </c>
      <c r="I37">
        <v>1</v>
      </c>
      <c r="J37">
        <f>Table8[[#This Row],[activated ratio]]*Table8[[#This Row],['# Count]]</f>
        <v>1572864</v>
      </c>
    </row>
    <row r="38" spans="6:10" x14ac:dyDescent="0.25">
      <c r="F38">
        <v>768</v>
      </c>
      <c r="G38" t="s">
        <v>174</v>
      </c>
      <c r="H38" t="s">
        <v>144</v>
      </c>
      <c r="I38">
        <v>1</v>
      </c>
      <c r="J38">
        <f>Table8[[#This Row],[activated ratio]]*Table8[[#This Row],['# Count]]</f>
        <v>768</v>
      </c>
    </row>
    <row r="39" spans="6:10" x14ac:dyDescent="0.25">
      <c r="F39">
        <v>36864</v>
      </c>
      <c r="G39" t="s">
        <v>175</v>
      </c>
      <c r="H39" t="s">
        <v>290</v>
      </c>
      <c r="I39">
        <v>1</v>
      </c>
      <c r="J39">
        <f>Table8[[#This Row],[activated ratio]]*Table8[[#This Row],['# Count]]</f>
        <v>36864</v>
      </c>
    </row>
    <row r="40" spans="6:10" x14ac:dyDescent="0.25">
      <c r="F40" s="49">
        <v>196608</v>
      </c>
      <c r="G40" s="49" t="s">
        <v>244</v>
      </c>
      <c r="H40" s="49" t="s">
        <v>264</v>
      </c>
      <c r="I40" s="49">
        <v>1</v>
      </c>
      <c r="J40" s="49">
        <f>Table8[[#This Row],[activated ratio]]*Table8[[#This Row],['# Count]]</f>
        <v>196608</v>
      </c>
    </row>
    <row r="41" spans="6:10" x14ac:dyDescent="0.25">
      <c r="F41" s="47">
        <v>12582912</v>
      </c>
      <c r="G41" s="47" t="s">
        <v>176</v>
      </c>
      <c r="H41" s="47" t="s">
        <v>291</v>
      </c>
      <c r="I41" s="47">
        <v>0.125</v>
      </c>
      <c r="J41" s="47">
        <f>Table8[[#This Row],[activated ratio]]*Table8[[#This Row],['# Count]]</f>
        <v>1572864</v>
      </c>
    </row>
    <row r="42" spans="6:10" x14ac:dyDescent="0.25">
      <c r="F42" s="47">
        <v>12582912</v>
      </c>
      <c r="G42" s="47" t="s">
        <v>177</v>
      </c>
      <c r="H42" s="47" t="s">
        <v>291</v>
      </c>
      <c r="I42" s="47">
        <v>0.125</v>
      </c>
      <c r="J42" s="47">
        <f>Table8[[#This Row],[activated ratio]]*Table8[[#This Row],['# Count]]</f>
        <v>1572864</v>
      </c>
    </row>
    <row r="43" spans="6:10" x14ac:dyDescent="0.25">
      <c r="F43" s="47">
        <v>12582912</v>
      </c>
      <c r="G43" s="47" t="s">
        <v>178</v>
      </c>
      <c r="H43" s="47" t="s">
        <v>292</v>
      </c>
      <c r="I43" s="47">
        <v>0.125</v>
      </c>
      <c r="J43" s="47">
        <f>Table8[[#This Row],[activated ratio]]*Table8[[#This Row],['# Count]]</f>
        <v>1572864</v>
      </c>
    </row>
    <row r="44" spans="6:10" x14ac:dyDescent="0.25">
      <c r="F44" s="49">
        <v>196608</v>
      </c>
      <c r="G44" s="49" t="s">
        <v>245</v>
      </c>
      <c r="H44" s="49" t="s">
        <v>267</v>
      </c>
      <c r="I44" s="49">
        <v>1</v>
      </c>
      <c r="J44" s="49">
        <f>Table8[[#This Row],[activated ratio]]*Table8[[#This Row],['# Count]]</f>
        <v>196608</v>
      </c>
    </row>
    <row r="45" spans="6:10" x14ac:dyDescent="0.25">
      <c r="F45">
        <v>768</v>
      </c>
      <c r="G45" t="s">
        <v>179</v>
      </c>
      <c r="H45" t="s">
        <v>144</v>
      </c>
      <c r="I45">
        <v>1</v>
      </c>
      <c r="J45">
        <f>Table8[[#This Row],[activated ratio]]*Table8[[#This Row],['# Count]]</f>
        <v>768</v>
      </c>
    </row>
    <row r="46" spans="6:10" x14ac:dyDescent="0.25">
      <c r="F46">
        <v>1572864</v>
      </c>
      <c r="G46" t="s">
        <v>180</v>
      </c>
      <c r="H46" t="s">
        <v>146</v>
      </c>
      <c r="I46">
        <v>1</v>
      </c>
      <c r="J46">
        <f>Table8[[#This Row],[activated ratio]]*Table8[[#This Row],['# Count]]</f>
        <v>1572864</v>
      </c>
    </row>
    <row r="47" spans="6:10" x14ac:dyDescent="0.25">
      <c r="F47">
        <v>1572864</v>
      </c>
      <c r="G47" t="s">
        <v>181</v>
      </c>
      <c r="H47" t="s">
        <v>146</v>
      </c>
      <c r="I47">
        <v>1</v>
      </c>
      <c r="J47">
        <f>Table8[[#This Row],[activated ratio]]*Table8[[#This Row],['# Count]]</f>
        <v>1572864</v>
      </c>
    </row>
    <row r="48" spans="6:10" x14ac:dyDescent="0.25">
      <c r="F48">
        <v>1572864</v>
      </c>
      <c r="G48" t="s">
        <v>182</v>
      </c>
      <c r="H48" t="s">
        <v>146</v>
      </c>
      <c r="I48">
        <v>1</v>
      </c>
      <c r="J48">
        <f>Table8[[#This Row],[activated ratio]]*Table8[[#This Row],['# Count]]</f>
        <v>1572864</v>
      </c>
    </row>
    <row r="49" spans="6:10" x14ac:dyDescent="0.25">
      <c r="F49">
        <v>1572864</v>
      </c>
      <c r="G49" t="s">
        <v>183</v>
      </c>
      <c r="H49" t="s">
        <v>150</v>
      </c>
      <c r="I49">
        <v>1</v>
      </c>
      <c r="J49">
        <f>Table8[[#This Row],[activated ratio]]*Table8[[#This Row],['# Count]]</f>
        <v>1572864</v>
      </c>
    </row>
    <row r="50" spans="6:10" x14ac:dyDescent="0.25">
      <c r="F50">
        <v>768</v>
      </c>
      <c r="G50" t="s">
        <v>184</v>
      </c>
      <c r="H50" t="s">
        <v>144</v>
      </c>
      <c r="I50">
        <v>1</v>
      </c>
      <c r="J50">
        <f>Table8[[#This Row],[activated ratio]]*Table8[[#This Row],['# Count]]</f>
        <v>768</v>
      </c>
    </row>
    <row r="51" spans="6:10" x14ac:dyDescent="0.25">
      <c r="F51">
        <v>36864</v>
      </c>
      <c r="G51" t="s">
        <v>185</v>
      </c>
      <c r="H51" t="s">
        <v>290</v>
      </c>
      <c r="I51">
        <v>1</v>
      </c>
      <c r="J51">
        <f>Table8[[#This Row],[activated ratio]]*Table8[[#This Row],['# Count]]</f>
        <v>36864</v>
      </c>
    </row>
    <row r="52" spans="6:10" x14ac:dyDescent="0.25">
      <c r="F52" s="49">
        <v>196608</v>
      </c>
      <c r="G52" s="49" t="s">
        <v>246</v>
      </c>
      <c r="H52" s="49" t="s">
        <v>264</v>
      </c>
      <c r="I52" s="49">
        <v>1</v>
      </c>
      <c r="J52" s="49">
        <f>Table8[[#This Row],[activated ratio]]*Table8[[#This Row],['# Count]]</f>
        <v>196608</v>
      </c>
    </row>
    <row r="53" spans="6:10" x14ac:dyDescent="0.25">
      <c r="F53" s="47">
        <v>12582912</v>
      </c>
      <c r="G53" s="47" t="s">
        <v>186</v>
      </c>
      <c r="H53" s="47" t="s">
        <v>291</v>
      </c>
      <c r="I53" s="47">
        <v>0.125</v>
      </c>
      <c r="J53" s="47">
        <f>Table8[[#This Row],[activated ratio]]*Table8[[#This Row],['# Count]]</f>
        <v>1572864</v>
      </c>
    </row>
    <row r="54" spans="6:10" x14ac:dyDescent="0.25">
      <c r="F54" s="47">
        <v>12582912</v>
      </c>
      <c r="G54" s="47" t="s">
        <v>187</v>
      </c>
      <c r="H54" s="47" t="s">
        <v>291</v>
      </c>
      <c r="I54" s="47">
        <v>0.125</v>
      </c>
      <c r="J54" s="47">
        <f>Table8[[#This Row],[activated ratio]]*Table8[[#This Row],['# Count]]</f>
        <v>1572864</v>
      </c>
    </row>
    <row r="55" spans="6:10" x14ac:dyDescent="0.25">
      <c r="F55" s="47">
        <v>12582912</v>
      </c>
      <c r="G55" s="47" t="s">
        <v>188</v>
      </c>
      <c r="H55" s="47" t="s">
        <v>292</v>
      </c>
      <c r="I55" s="47">
        <v>0.125</v>
      </c>
      <c r="J55" s="47">
        <f>Table8[[#This Row],[activated ratio]]*Table8[[#This Row],['# Count]]</f>
        <v>1572864</v>
      </c>
    </row>
    <row r="56" spans="6:10" x14ac:dyDescent="0.25">
      <c r="F56" s="49">
        <v>196608</v>
      </c>
      <c r="G56" s="49" t="s">
        <v>247</v>
      </c>
      <c r="H56" s="49" t="s">
        <v>267</v>
      </c>
      <c r="I56" s="49">
        <v>1</v>
      </c>
      <c r="J56" s="49">
        <f>Table8[[#This Row],[activated ratio]]*Table8[[#This Row],['# Count]]</f>
        <v>196608</v>
      </c>
    </row>
    <row r="57" spans="6:10" x14ac:dyDescent="0.25">
      <c r="F57">
        <v>768</v>
      </c>
      <c r="G57" t="s">
        <v>189</v>
      </c>
      <c r="H57" t="s">
        <v>144</v>
      </c>
      <c r="I57">
        <v>1</v>
      </c>
      <c r="J57">
        <f>Table8[[#This Row],[activated ratio]]*Table8[[#This Row],['# Count]]</f>
        <v>768</v>
      </c>
    </row>
    <row r="58" spans="6:10" x14ac:dyDescent="0.25">
      <c r="F58">
        <v>1572864</v>
      </c>
      <c r="G58" t="s">
        <v>190</v>
      </c>
      <c r="H58" t="s">
        <v>146</v>
      </c>
      <c r="I58">
        <v>1</v>
      </c>
      <c r="J58">
        <f>Table8[[#This Row],[activated ratio]]*Table8[[#This Row],['# Count]]</f>
        <v>1572864</v>
      </c>
    </row>
    <row r="59" spans="6:10" x14ac:dyDescent="0.25">
      <c r="F59">
        <v>1572864</v>
      </c>
      <c r="G59" t="s">
        <v>191</v>
      </c>
      <c r="H59" t="s">
        <v>146</v>
      </c>
      <c r="I59">
        <v>1</v>
      </c>
      <c r="J59">
        <f>Table8[[#This Row],[activated ratio]]*Table8[[#This Row],['# Count]]</f>
        <v>1572864</v>
      </c>
    </row>
    <row r="60" spans="6:10" x14ac:dyDescent="0.25">
      <c r="F60">
        <v>1572864</v>
      </c>
      <c r="G60" t="s">
        <v>192</v>
      </c>
      <c r="H60" t="s">
        <v>146</v>
      </c>
      <c r="I60">
        <v>1</v>
      </c>
      <c r="J60">
        <f>Table8[[#This Row],[activated ratio]]*Table8[[#This Row],['# Count]]</f>
        <v>1572864</v>
      </c>
    </row>
    <row r="61" spans="6:10" x14ac:dyDescent="0.25">
      <c r="F61">
        <v>1572864</v>
      </c>
      <c r="G61" t="s">
        <v>193</v>
      </c>
      <c r="H61" t="s">
        <v>150</v>
      </c>
      <c r="I61">
        <v>1</v>
      </c>
      <c r="J61">
        <f>Table8[[#This Row],[activated ratio]]*Table8[[#This Row],['# Count]]</f>
        <v>1572864</v>
      </c>
    </row>
    <row r="62" spans="6:10" x14ac:dyDescent="0.25">
      <c r="F62">
        <v>768</v>
      </c>
      <c r="G62" t="s">
        <v>194</v>
      </c>
      <c r="H62" t="s">
        <v>144</v>
      </c>
      <c r="I62">
        <v>1</v>
      </c>
      <c r="J62">
        <f>Table8[[#This Row],[activated ratio]]*Table8[[#This Row],['# Count]]</f>
        <v>768</v>
      </c>
    </row>
    <row r="63" spans="6:10" x14ac:dyDescent="0.25">
      <c r="F63">
        <v>36864</v>
      </c>
      <c r="G63" t="s">
        <v>195</v>
      </c>
      <c r="H63" t="s">
        <v>290</v>
      </c>
      <c r="I63">
        <v>1</v>
      </c>
      <c r="J63">
        <f>Table8[[#This Row],[activated ratio]]*Table8[[#This Row],['# Count]]</f>
        <v>36864</v>
      </c>
    </row>
    <row r="64" spans="6:10" x14ac:dyDescent="0.25">
      <c r="F64" s="49">
        <v>196608</v>
      </c>
      <c r="G64" s="49" t="s">
        <v>248</v>
      </c>
      <c r="H64" s="49" t="s">
        <v>264</v>
      </c>
      <c r="I64" s="49">
        <v>1</v>
      </c>
      <c r="J64" s="49">
        <f>Table8[[#This Row],[activated ratio]]*Table8[[#This Row],['# Count]]</f>
        <v>196608</v>
      </c>
    </row>
    <row r="65" spans="6:10" x14ac:dyDescent="0.25">
      <c r="F65" s="47">
        <v>12582912</v>
      </c>
      <c r="G65" s="47" t="s">
        <v>196</v>
      </c>
      <c r="H65" s="47" t="s">
        <v>291</v>
      </c>
      <c r="I65" s="47">
        <v>0.125</v>
      </c>
      <c r="J65" s="47">
        <f>Table8[[#This Row],[activated ratio]]*Table8[[#This Row],['# Count]]</f>
        <v>1572864</v>
      </c>
    </row>
    <row r="66" spans="6:10" x14ac:dyDescent="0.25">
      <c r="F66" s="47">
        <v>12582912</v>
      </c>
      <c r="G66" s="47" t="s">
        <v>197</v>
      </c>
      <c r="H66" s="47" t="s">
        <v>291</v>
      </c>
      <c r="I66" s="47">
        <v>0.125</v>
      </c>
      <c r="J66" s="47">
        <f>Table8[[#This Row],[activated ratio]]*Table8[[#This Row],['# Count]]</f>
        <v>1572864</v>
      </c>
    </row>
    <row r="67" spans="6:10" x14ac:dyDescent="0.25">
      <c r="F67" s="47">
        <v>12582912</v>
      </c>
      <c r="G67" s="47" t="s">
        <v>198</v>
      </c>
      <c r="H67" s="47" t="s">
        <v>292</v>
      </c>
      <c r="I67" s="47">
        <v>0.125</v>
      </c>
      <c r="J67" s="47">
        <f>Table8[[#This Row],[activated ratio]]*Table8[[#This Row],['# Count]]</f>
        <v>1572864</v>
      </c>
    </row>
    <row r="68" spans="6:10" x14ac:dyDescent="0.25">
      <c r="F68" s="49">
        <v>196608</v>
      </c>
      <c r="G68" s="49" t="s">
        <v>249</v>
      </c>
      <c r="H68" s="49" t="s">
        <v>267</v>
      </c>
      <c r="I68" s="49">
        <v>1</v>
      </c>
      <c r="J68" s="49">
        <f>Table8[[#This Row],[activated ratio]]*Table8[[#This Row],['# Count]]</f>
        <v>196608</v>
      </c>
    </row>
    <row r="69" spans="6:10" x14ac:dyDescent="0.25">
      <c r="F69">
        <v>768</v>
      </c>
      <c r="G69" t="s">
        <v>199</v>
      </c>
      <c r="H69" t="s">
        <v>144</v>
      </c>
      <c r="I69">
        <v>1</v>
      </c>
      <c r="J69">
        <f>Table8[[#This Row],[activated ratio]]*Table8[[#This Row],['# Count]]</f>
        <v>768</v>
      </c>
    </row>
    <row r="70" spans="6:10" x14ac:dyDescent="0.25">
      <c r="F70">
        <v>1572864</v>
      </c>
      <c r="G70" t="s">
        <v>200</v>
      </c>
      <c r="H70" t="s">
        <v>146</v>
      </c>
      <c r="I70">
        <v>1</v>
      </c>
      <c r="J70">
        <f>Table8[[#This Row],[activated ratio]]*Table8[[#This Row],['# Count]]</f>
        <v>1572864</v>
      </c>
    </row>
    <row r="71" spans="6:10" x14ac:dyDescent="0.25">
      <c r="F71">
        <v>1572864</v>
      </c>
      <c r="G71" t="s">
        <v>201</v>
      </c>
      <c r="H71" t="s">
        <v>146</v>
      </c>
      <c r="I71">
        <v>1</v>
      </c>
      <c r="J71">
        <f>Table8[[#This Row],[activated ratio]]*Table8[[#This Row],['# Count]]</f>
        <v>1572864</v>
      </c>
    </row>
    <row r="72" spans="6:10" x14ac:dyDescent="0.25">
      <c r="F72">
        <v>1572864</v>
      </c>
      <c r="G72" t="s">
        <v>202</v>
      </c>
      <c r="H72" t="s">
        <v>146</v>
      </c>
      <c r="I72">
        <v>1</v>
      </c>
      <c r="J72">
        <f>Table8[[#This Row],[activated ratio]]*Table8[[#This Row],['# Count]]</f>
        <v>1572864</v>
      </c>
    </row>
    <row r="73" spans="6:10" x14ac:dyDescent="0.25">
      <c r="F73">
        <v>1572864</v>
      </c>
      <c r="G73" t="s">
        <v>203</v>
      </c>
      <c r="H73" t="s">
        <v>150</v>
      </c>
      <c r="I73">
        <v>1</v>
      </c>
      <c r="J73">
        <f>Table8[[#This Row],[activated ratio]]*Table8[[#This Row],['# Count]]</f>
        <v>1572864</v>
      </c>
    </row>
    <row r="74" spans="6:10" x14ac:dyDescent="0.25">
      <c r="F74">
        <v>768</v>
      </c>
      <c r="G74" t="s">
        <v>204</v>
      </c>
      <c r="H74" t="s">
        <v>144</v>
      </c>
      <c r="I74">
        <v>1</v>
      </c>
      <c r="J74">
        <f>Table8[[#This Row],[activated ratio]]*Table8[[#This Row],['# Count]]</f>
        <v>768</v>
      </c>
    </row>
    <row r="75" spans="6:10" x14ac:dyDescent="0.25">
      <c r="F75">
        <v>36864</v>
      </c>
      <c r="G75" t="s">
        <v>205</v>
      </c>
      <c r="H75" t="s">
        <v>290</v>
      </c>
      <c r="I75">
        <v>1</v>
      </c>
      <c r="J75">
        <f>Table8[[#This Row],[activated ratio]]*Table8[[#This Row],['# Count]]</f>
        <v>36864</v>
      </c>
    </row>
    <row r="76" spans="6:10" x14ac:dyDescent="0.25">
      <c r="F76" s="49">
        <v>196608</v>
      </c>
      <c r="G76" s="49" t="s">
        <v>250</v>
      </c>
      <c r="H76" s="49" t="s">
        <v>264</v>
      </c>
      <c r="I76" s="49">
        <v>1</v>
      </c>
      <c r="J76" s="49">
        <f>Table8[[#This Row],[activated ratio]]*Table8[[#This Row],['# Count]]</f>
        <v>196608</v>
      </c>
    </row>
    <row r="77" spans="6:10" x14ac:dyDescent="0.25">
      <c r="F77" s="47">
        <v>12582912</v>
      </c>
      <c r="G77" s="47" t="s">
        <v>206</v>
      </c>
      <c r="H77" s="47" t="s">
        <v>291</v>
      </c>
      <c r="I77" s="47">
        <v>0.125</v>
      </c>
      <c r="J77" s="47">
        <f>Table8[[#This Row],[activated ratio]]*Table8[[#This Row],['# Count]]</f>
        <v>1572864</v>
      </c>
    </row>
    <row r="78" spans="6:10" x14ac:dyDescent="0.25">
      <c r="F78" s="47">
        <v>12582912</v>
      </c>
      <c r="G78" s="47" t="s">
        <v>207</v>
      </c>
      <c r="H78" s="47" t="s">
        <v>291</v>
      </c>
      <c r="I78" s="47">
        <v>0.125</v>
      </c>
      <c r="J78" s="47">
        <f>Table8[[#This Row],[activated ratio]]*Table8[[#This Row],['# Count]]</f>
        <v>1572864</v>
      </c>
    </row>
    <row r="79" spans="6:10" x14ac:dyDescent="0.25">
      <c r="F79" s="47">
        <v>12582912</v>
      </c>
      <c r="G79" s="47" t="s">
        <v>208</v>
      </c>
      <c r="H79" s="47" t="s">
        <v>292</v>
      </c>
      <c r="I79" s="47">
        <v>0.125</v>
      </c>
      <c r="J79" s="47">
        <f>Table8[[#This Row],[activated ratio]]*Table8[[#This Row],['# Count]]</f>
        <v>1572864</v>
      </c>
    </row>
    <row r="80" spans="6:10" x14ac:dyDescent="0.25">
      <c r="F80" s="49">
        <v>196608</v>
      </c>
      <c r="G80" s="49" t="s">
        <v>251</v>
      </c>
      <c r="H80" s="49" t="s">
        <v>267</v>
      </c>
      <c r="I80" s="49">
        <v>1</v>
      </c>
      <c r="J80" s="49">
        <f>Table8[[#This Row],[activated ratio]]*Table8[[#This Row],['# Count]]</f>
        <v>196608</v>
      </c>
    </row>
    <row r="81" spans="6:10" x14ac:dyDescent="0.25">
      <c r="F81">
        <v>768</v>
      </c>
      <c r="G81" t="s">
        <v>209</v>
      </c>
      <c r="H81" t="s">
        <v>144</v>
      </c>
      <c r="I81">
        <v>1</v>
      </c>
      <c r="J81">
        <f>Table8[[#This Row],[activated ratio]]*Table8[[#This Row],['# Count]]</f>
        <v>768</v>
      </c>
    </row>
    <row r="82" spans="6:10" x14ac:dyDescent="0.25">
      <c r="F82">
        <v>1572864</v>
      </c>
      <c r="G82" t="s">
        <v>210</v>
      </c>
      <c r="H82" t="s">
        <v>146</v>
      </c>
      <c r="I82">
        <v>1</v>
      </c>
      <c r="J82">
        <f>Table8[[#This Row],[activated ratio]]*Table8[[#This Row],['# Count]]</f>
        <v>1572864</v>
      </c>
    </row>
    <row r="83" spans="6:10" x14ac:dyDescent="0.25">
      <c r="F83">
        <v>1572864</v>
      </c>
      <c r="G83" t="s">
        <v>211</v>
      </c>
      <c r="H83" t="s">
        <v>146</v>
      </c>
      <c r="I83">
        <v>1</v>
      </c>
      <c r="J83">
        <f>Table8[[#This Row],[activated ratio]]*Table8[[#This Row],['# Count]]</f>
        <v>1572864</v>
      </c>
    </row>
    <row r="84" spans="6:10" x14ac:dyDescent="0.25">
      <c r="F84">
        <v>1572864</v>
      </c>
      <c r="G84" t="s">
        <v>212</v>
      </c>
      <c r="H84" t="s">
        <v>146</v>
      </c>
      <c r="I84">
        <v>1</v>
      </c>
      <c r="J84">
        <f>Table8[[#This Row],[activated ratio]]*Table8[[#This Row],['# Count]]</f>
        <v>1572864</v>
      </c>
    </row>
    <row r="85" spans="6:10" x14ac:dyDescent="0.25">
      <c r="F85">
        <v>1572864</v>
      </c>
      <c r="G85" t="s">
        <v>213</v>
      </c>
      <c r="H85" t="s">
        <v>150</v>
      </c>
      <c r="I85">
        <v>1</v>
      </c>
      <c r="J85">
        <f>Table8[[#This Row],[activated ratio]]*Table8[[#This Row],['# Count]]</f>
        <v>1572864</v>
      </c>
    </row>
    <row r="86" spans="6:10" x14ac:dyDescent="0.25">
      <c r="F86">
        <v>768</v>
      </c>
      <c r="G86" t="s">
        <v>214</v>
      </c>
      <c r="H86" t="s">
        <v>144</v>
      </c>
      <c r="I86">
        <v>1</v>
      </c>
      <c r="J86">
        <f>Table8[[#This Row],[activated ratio]]*Table8[[#This Row],['# Count]]</f>
        <v>768</v>
      </c>
    </row>
    <row r="87" spans="6:10" x14ac:dyDescent="0.25">
      <c r="F87">
        <v>36864</v>
      </c>
      <c r="G87" t="s">
        <v>215</v>
      </c>
      <c r="H87" t="s">
        <v>290</v>
      </c>
      <c r="I87">
        <v>1</v>
      </c>
      <c r="J87">
        <f>Table8[[#This Row],[activated ratio]]*Table8[[#This Row],['# Count]]</f>
        <v>36864</v>
      </c>
    </row>
    <row r="88" spans="6:10" x14ac:dyDescent="0.25">
      <c r="F88" s="49">
        <v>196608</v>
      </c>
      <c r="G88" s="49" t="s">
        <v>252</v>
      </c>
      <c r="H88" s="49" t="s">
        <v>264</v>
      </c>
      <c r="I88" s="49">
        <v>1</v>
      </c>
      <c r="J88" s="49">
        <f>Table8[[#This Row],[activated ratio]]*Table8[[#This Row],['# Count]]</f>
        <v>196608</v>
      </c>
    </row>
    <row r="89" spans="6:10" x14ac:dyDescent="0.25">
      <c r="F89" s="47">
        <v>12582912</v>
      </c>
      <c r="G89" s="47" t="s">
        <v>216</v>
      </c>
      <c r="H89" s="47" t="s">
        <v>291</v>
      </c>
      <c r="I89" s="47">
        <v>0.125</v>
      </c>
      <c r="J89" s="47">
        <f>Table8[[#This Row],[activated ratio]]*Table8[[#This Row],['# Count]]</f>
        <v>1572864</v>
      </c>
    </row>
    <row r="90" spans="6:10" x14ac:dyDescent="0.25">
      <c r="F90" s="47">
        <v>12582912</v>
      </c>
      <c r="G90" s="47" t="s">
        <v>217</v>
      </c>
      <c r="H90" s="47" t="s">
        <v>291</v>
      </c>
      <c r="I90" s="47">
        <v>0.125</v>
      </c>
      <c r="J90" s="47">
        <f>Table8[[#This Row],[activated ratio]]*Table8[[#This Row],['# Count]]</f>
        <v>1572864</v>
      </c>
    </row>
    <row r="91" spans="6:10" x14ac:dyDescent="0.25">
      <c r="F91" s="47">
        <v>12582912</v>
      </c>
      <c r="G91" s="47" t="s">
        <v>218</v>
      </c>
      <c r="H91" s="47" t="s">
        <v>292</v>
      </c>
      <c r="I91" s="47">
        <v>0.125</v>
      </c>
      <c r="J91" s="47">
        <f>Table8[[#This Row],[activated ratio]]*Table8[[#This Row],['# Count]]</f>
        <v>1572864</v>
      </c>
    </row>
    <row r="92" spans="6:10" x14ac:dyDescent="0.25">
      <c r="F92" s="49">
        <v>196608</v>
      </c>
      <c r="G92" s="49" t="s">
        <v>253</v>
      </c>
      <c r="H92" s="49" t="s">
        <v>267</v>
      </c>
      <c r="I92" s="49">
        <v>1</v>
      </c>
      <c r="J92" s="49">
        <f>Table8[[#This Row],[activated ratio]]*Table8[[#This Row],['# Count]]</f>
        <v>196608</v>
      </c>
    </row>
    <row r="93" spans="6:10" x14ac:dyDescent="0.25">
      <c r="F93">
        <v>768</v>
      </c>
      <c r="G93" t="s">
        <v>219</v>
      </c>
      <c r="H93" t="s">
        <v>144</v>
      </c>
      <c r="I93">
        <v>1</v>
      </c>
      <c r="J93">
        <f>Table8[[#This Row],[activated ratio]]*Table8[[#This Row],['# Count]]</f>
        <v>768</v>
      </c>
    </row>
    <row r="94" spans="6:10" x14ac:dyDescent="0.25">
      <c r="F94">
        <v>1572864</v>
      </c>
      <c r="G94" t="s">
        <v>220</v>
      </c>
      <c r="H94" t="s">
        <v>146</v>
      </c>
      <c r="I94">
        <v>1</v>
      </c>
      <c r="J94">
        <f>Table8[[#This Row],[activated ratio]]*Table8[[#This Row],['# Count]]</f>
        <v>1572864</v>
      </c>
    </row>
    <row r="95" spans="6:10" x14ac:dyDescent="0.25">
      <c r="F95">
        <v>1572864</v>
      </c>
      <c r="G95" t="s">
        <v>221</v>
      </c>
      <c r="H95" t="s">
        <v>146</v>
      </c>
      <c r="I95">
        <v>1</v>
      </c>
      <c r="J95">
        <f>Table8[[#This Row],[activated ratio]]*Table8[[#This Row],['# Count]]</f>
        <v>1572864</v>
      </c>
    </row>
    <row r="96" spans="6:10" x14ac:dyDescent="0.25">
      <c r="F96">
        <v>1572864</v>
      </c>
      <c r="G96" t="s">
        <v>222</v>
      </c>
      <c r="H96" t="s">
        <v>146</v>
      </c>
      <c r="I96">
        <v>1</v>
      </c>
      <c r="J96">
        <f>Table8[[#This Row],[activated ratio]]*Table8[[#This Row],['# Count]]</f>
        <v>1572864</v>
      </c>
    </row>
    <row r="97" spans="6:10" x14ac:dyDescent="0.25">
      <c r="F97">
        <v>1572864</v>
      </c>
      <c r="G97" t="s">
        <v>223</v>
      </c>
      <c r="H97" t="s">
        <v>150</v>
      </c>
      <c r="I97">
        <v>1</v>
      </c>
      <c r="J97">
        <f>Table8[[#This Row],[activated ratio]]*Table8[[#This Row],['# Count]]</f>
        <v>1572864</v>
      </c>
    </row>
    <row r="98" spans="6:10" x14ac:dyDescent="0.25">
      <c r="F98">
        <v>768</v>
      </c>
      <c r="G98" t="s">
        <v>224</v>
      </c>
      <c r="H98" t="s">
        <v>144</v>
      </c>
      <c r="I98">
        <v>1</v>
      </c>
      <c r="J98">
        <f>Table8[[#This Row],[activated ratio]]*Table8[[#This Row],['# Count]]</f>
        <v>768</v>
      </c>
    </row>
    <row r="99" spans="6:10" x14ac:dyDescent="0.25">
      <c r="F99">
        <v>36864</v>
      </c>
      <c r="G99" t="s">
        <v>225</v>
      </c>
      <c r="H99" t="s">
        <v>290</v>
      </c>
      <c r="I99">
        <v>1</v>
      </c>
      <c r="J99">
        <f>Table8[[#This Row],[activated ratio]]*Table8[[#This Row],['# Count]]</f>
        <v>36864</v>
      </c>
    </row>
    <row r="100" spans="6:10" x14ac:dyDescent="0.25">
      <c r="F100" s="49">
        <v>196608</v>
      </c>
      <c r="G100" s="49" t="s">
        <v>254</v>
      </c>
      <c r="H100" s="49" t="s">
        <v>264</v>
      </c>
      <c r="I100" s="49">
        <v>1</v>
      </c>
      <c r="J100" s="49">
        <f>Table8[[#This Row],[activated ratio]]*Table8[[#This Row],['# Count]]</f>
        <v>196608</v>
      </c>
    </row>
    <row r="101" spans="6:10" x14ac:dyDescent="0.25">
      <c r="F101" s="47">
        <v>12582912</v>
      </c>
      <c r="G101" s="47" t="s">
        <v>226</v>
      </c>
      <c r="H101" s="47" t="s">
        <v>291</v>
      </c>
      <c r="I101" s="47">
        <v>0.125</v>
      </c>
      <c r="J101" s="47">
        <f>Table8[[#This Row],[activated ratio]]*Table8[[#This Row],['# Count]]</f>
        <v>1572864</v>
      </c>
    </row>
    <row r="102" spans="6:10" x14ac:dyDescent="0.25">
      <c r="F102" s="47">
        <v>12582912</v>
      </c>
      <c r="G102" s="47" t="s">
        <v>227</v>
      </c>
      <c r="H102" s="47" t="s">
        <v>291</v>
      </c>
      <c r="I102" s="47">
        <v>0.125</v>
      </c>
      <c r="J102" s="47">
        <f>Table8[[#This Row],[activated ratio]]*Table8[[#This Row],['# Count]]</f>
        <v>1572864</v>
      </c>
    </row>
    <row r="103" spans="6:10" x14ac:dyDescent="0.25">
      <c r="F103" s="47">
        <v>12582912</v>
      </c>
      <c r="G103" s="47" t="s">
        <v>228</v>
      </c>
      <c r="H103" s="47" t="s">
        <v>292</v>
      </c>
      <c r="I103" s="47">
        <v>0.125</v>
      </c>
      <c r="J103" s="47">
        <f>Table8[[#This Row],[activated ratio]]*Table8[[#This Row],['# Count]]</f>
        <v>1572864</v>
      </c>
    </row>
    <row r="104" spans="6:10" x14ac:dyDescent="0.25">
      <c r="F104" s="49">
        <v>196608</v>
      </c>
      <c r="G104" s="49" t="s">
        <v>255</v>
      </c>
      <c r="H104" s="49" t="s">
        <v>267</v>
      </c>
      <c r="I104" s="49">
        <v>1</v>
      </c>
      <c r="J104" s="49">
        <f>Table8[[#This Row],[activated ratio]]*Table8[[#This Row],['# Count]]</f>
        <v>196608</v>
      </c>
    </row>
    <row r="105" spans="6:10" x14ac:dyDescent="0.25">
      <c r="F105">
        <v>768</v>
      </c>
      <c r="G105" t="s">
        <v>229</v>
      </c>
      <c r="H105" t="s">
        <v>144</v>
      </c>
      <c r="I105">
        <v>1</v>
      </c>
      <c r="J105">
        <f>Table8[[#This Row],[activated ratio]]*Table8[[#This Row],['# Count]]</f>
        <v>768</v>
      </c>
    </row>
    <row r="106" spans="6:10" x14ac:dyDescent="0.25">
      <c r="F106">
        <v>24576000</v>
      </c>
      <c r="G106" t="s">
        <v>230</v>
      </c>
      <c r="H106" t="s">
        <v>142</v>
      </c>
      <c r="I106">
        <v>1</v>
      </c>
      <c r="J106">
        <f>Table8[[#This Row],[activated ratio]]*Table8[[#This Row],['# Count]]</f>
        <v>24576000</v>
      </c>
    </row>
    <row r="107" spans="6:10" x14ac:dyDescent="0.25">
      <c r="F107">
        <f>SUBTOTAL(109,Table8['# Count])</f>
        <v>404927232</v>
      </c>
      <c r="J107">
        <f>SUBTOTAL(109,Table8[activated])</f>
        <v>140686080</v>
      </c>
    </row>
    <row r="109" spans="6:10" x14ac:dyDescent="0.25">
      <c r="I109" t="s">
        <v>269</v>
      </c>
      <c r="J109">
        <v>3145728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41445-429F-49C6-A275-65256DFB8E54}">
  <dimension ref="H6:L114"/>
  <sheetViews>
    <sheetView topLeftCell="A70" workbookViewId="0">
      <selection activeCell="L114" sqref="L114"/>
    </sheetView>
  </sheetViews>
  <sheetFormatPr defaultRowHeight="15" x14ac:dyDescent="0.25"/>
  <cols>
    <col min="8" max="8" width="15.42578125" bestFit="1" customWidth="1"/>
    <col min="9" max="9" width="40" bestFit="1" customWidth="1"/>
    <col min="10" max="10" width="16.140625" bestFit="1" customWidth="1"/>
    <col min="11" max="11" width="16.28515625" bestFit="1" customWidth="1"/>
    <col min="12" max="12" width="11.5703125" bestFit="1" customWidth="1"/>
  </cols>
  <sheetData>
    <row r="6" spans="8:12" x14ac:dyDescent="0.25">
      <c r="J6" t="s">
        <v>256</v>
      </c>
    </row>
    <row r="7" spans="8:12" x14ac:dyDescent="0.25">
      <c r="J7" t="s">
        <v>295</v>
      </c>
    </row>
    <row r="8" spans="8:12" x14ac:dyDescent="0.25">
      <c r="J8" t="s">
        <v>268</v>
      </c>
      <c r="K8">
        <f>6/16</f>
        <v>0.375</v>
      </c>
    </row>
    <row r="11" spans="8:12" x14ac:dyDescent="0.25">
      <c r="H11" t="s">
        <v>138</v>
      </c>
      <c r="I11" t="s">
        <v>139</v>
      </c>
      <c r="J11" t="s">
        <v>140</v>
      </c>
      <c r="K11" t="s">
        <v>233</v>
      </c>
      <c r="L11" t="s">
        <v>235</v>
      </c>
    </row>
    <row r="12" spans="8:12" x14ac:dyDescent="0.25">
      <c r="H12">
        <v>24576000</v>
      </c>
      <c r="I12" t="s">
        <v>141</v>
      </c>
      <c r="J12" t="s">
        <v>142</v>
      </c>
      <c r="K12">
        <v>1</v>
      </c>
      <c r="L12">
        <f>Table9[[#This Row],[activated ratio]]*Table9[[#This Row],['# Count]]</f>
        <v>24576000</v>
      </c>
    </row>
    <row r="13" spans="8:12" x14ac:dyDescent="0.25">
      <c r="H13">
        <v>768</v>
      </c>
      <c r="I13" t="s">
        <v>143</v>
      </c>
      <c r="J13" t="s">
        <v>144</v>
      </c>
      <c r="K13">
        <v>1</v>
      </c>
      <c r="L13">
        <f>Table9[[#This Row],[activated ratio]]*Table9[[#This Row],['# Count]]</f>
        <v>768</v>
      </c>
    </row>
    <row r="14" spans="8:12" x14ac:dyDescent="0.25">
      <c r="H14">
        <v>1572864</v>
      </c>
      <c r="I14" t="s">
        <v>145</v>
      </c>
      <c r="J14" t="s">
        <v>146</v>
      </c>
      <c r="K14">
        <v>1</v>
      </c>
      <c r="L14">
        <f>Table9[[#This Row],[activated ratio]]*Table9[[#This Row],['# Count]]</f>
        <v>1572864</v>
      </c>
    </row>
    <row r="15" spans="8:12" x14ac:dyDescent="0.25">
      <c r="H15">
        <v>1572864</v>
      </c>
      <c r="I15" t="s">
        <v>147</v>
      </c>
      <c r="J15" t="s">
        <v>146</v>
      </c>
      <c r="K15">
        <v>1</v>
      </c>
      <c r="L15">
        <f>Table9[[#This Row],[activated ratio]]*Table9[[#This Row],['# Count]]</f>
        <v>1572864</v>
      </c>
    </row>
    <row r="16" spans="8:12" x14ac:dyDescent="0.25">
      <c r="H16">
        <v>1572864</v>
      </c>
      <c r="I16" t="s">
        <v>148</v>
      </c>
      <c r="J16" t="s">
        <v>146</v>
      </c>
      <c r="K16">
        <v>1</v>
      </c>
      <c r="L16">
        <f>Table9[[#This Row],[activated ratio]]*Table9[[#This Row],['# Count]]</f>
        <v>1572864</v>
      </c>
    </row>
    <row r="17" spans="8:12" x14ac:dyDescent="0.25">
      <c r="H17">
        <v>1572864</v>
      </c>
      <c r="I17" t="s">
        <v>149</v>
      </c>
      <c r="J17" t="s">
        <v>150</v>
      </c>
      <c r="K17">
        <v>1</v>
      </c>
      <c r="L17">
        <f>Table9[[#This Row],[activated ratio]]*Table9[[#This Row],['# Count]]</f>
        <v>1572864</v>
      </c>
    </row>
    <row r="18" spans="8:12" x14ac:dyDescent="0.25">
      <c r="H18">
        <v>768</v>
      </c>
      <c r="I18" t="s">
        <v>151</v>
      </c>
      <c r="J18" t="s">
        <v>144</v>
      </c>
      <c r="K18">
        <v>1</v>
      </c>
      <c r="L18">
        <f>Table9[[#This Row],[activated ratio]]*Table9[[#This Row],['# Count]]</f>
        <v>768</v>
      </c>
    </row>
    <row r="19" spans="8:12" x14ac:dyDescent="0.25">
      <c r="H19">
        <v>12288</v>
      </c>
      <c r="I19" t="s">
        <v>152</v>
      </c>
      <c r="J19" t="s">
        <v>153</v>
      </c>
      <c r="K19">
        <v>1</v>
      </c>
      <c r="L19">
        <f>Table9[[#This Row],[activated ratio]]*Table9[[#This Row],['# Count]]</f>
        <v>12288</v>
      </c>
    </row>
    <row r="20" spans="8:12" x14ac:dyDescent="0.25">
      <c r="H20" s="49">
        <v>196608</v>
      </c>
      <c r="I20" s="49" t="s">
        <v>236</v>
      </c>
      <c r="J20" s="49" t="s">
        <v>264</v>
      </c>
      <c r="K20" s="49">
        <v>1</v>
      </c>
      <c r="L20" s="49">
        <f>Table9[[#This Row],[activated ratio]]*Table9[[#This Row],['# Count]]</f>
        <v>196608</v>
      </c>
    </row>
    <row r="21" spans="8:12" x14ac:dyDescent="0.25">
      <c r="H21" s="47">
        <v>4194304</v>
      </c>
      <c r="I21" s="47" t="s">
        <v>154</v>
      </c>
      <c r="J21" s="47" t="s">
        <v>265</v>
      </c>
      <c r="K21" s="47">
        <v>0.375</v>
      </c>
      <c r="L21" s="47">
        <f>Table9[[#This Row],[activated ratio]]*Table9[[#This Row],['# Count]]</f>
        <v>1572864</v>
      </c>
    </row>
    <row r="22" spans="8:12" x14ac:dyDescent="0.25">
      <c r="H22" s="47">
        <v>4194304</v>
      </c>
      <c r="I22" s="47" t="s">
        <v>156</v>
      </c>
      <c r="J22" s="47" t="s">
        <v>265</v>
      </c>
      <c r="K22" s="47">
        <v>0.375</v>
      </c>
      <c r="L22" s="47">
        <f>Table9[[#This Row],[activated ratio]]*Table9[[#This Row],['# Count]]</f>
        <v>1572864</v>
      </c>
    </row>
    <row r="23" spans="8:12" x14ac:dyDescent="0.25">
      <c r="H23" s="47">
        <v>4194304</v>
      </c>
      <c r="I23" s="47" t="s">
        <v>157</v>
      </c>
      <c r="J23" s="47" t="s">
        <v>266</v>
      </c>
      <c r="K23" s="47">
        <v>0.375</v>
      </c>
      <c r="L23" s="47">
        <f>Table9[[#This Row],[activated ratio]]*Table9[[#This Row],['# Count]]</f>
        <v>1572864</v>
      </c>
    </row>
    <row r="24" spans="8:12" x14ac:dyDescent="0.25">
      <c r="H24" s="49">
        <v>196608</v>
      </c>
      <c r="I24" s="49" t="s">
        <v>240</v>
      </c>
      <c r="J24" s="49" t="s">
        <v>267</v>
      </c>
      <c r="K24" s="49">
        <v>1</v>
      </c>
      <c r="L24" s="49">
        <f>Table9[[#This Row],[activated ratio]]*Table9[[#This Row],['# Count]]</f>
        <v>196608</v>
      </c>
    </row>
    <row r="25" spans="8:12" x14ac:dyDescent="0.25">
      <c r="H25">
        <v>768</v>
      </c>
      <c r="I25" t="s">
        <v>159</v>
      </c>
      <c r="J25" t="s">
        <v>144</v>
      </c>
      <c r="K25">
        <v>1</v>
      </c>
      <c r="L25">
        <f>Table9[[#This Row],[activated ratio]]*Table9[[#This Row],['# Count]]</f>
        <v>768</v>
      </c>
    </row>
    <row r="26" spans="8:12" x14ac:dyDescent="0.25">
      <c r="H26">
        <v>1572864</v>
      </c>
      <c r="I26" t="s">
        <v>160</v>
      </c>
      <c r="J26" t="s">
        <v>146</v>
      </c>
      <c r="K26">
        <v>1</v>
      </c>
      <c r="L26">
        <f>Table9[[#This Row],[activated ratio]]*Table9[[#This Row],['# Count]]</f>
        <v>1572864</v>
      </c>
    </row>
    <row r="27" spans="8:12" x14ac:dyDescent="0.25">
      <c r="H27">
        <v>1572864</v>
      </c>
      <c r="I27" t="s">
        <v>161</v>
      </c>
      <c r="J27" t="s">
        <v>146</v>
      </c>
      <c r="K27">
        <v>1</v>
      </c>
      <c r="L27">
        <f>Table9[[#This Row],[activated ratio]]*Table9[[#This Row],['# Count]]</f>
        <v>1572864</v>
      </c>
    </row>
    <row r="28" spans="8:12" x14ac:dyDescent="0.25">
      <c r="H28">
        <v>1572864</v>
      </c>
      <c r="I28" t="s">
        <v>162</v>
      </c>
      <c r="J28" t="s">
        <v>146</v>
      </c>
      <c r="K28">
        <v>1</v>
      </c>
      <c r="L28">
        <f>Table9[[#This Row],[activated ratio]]*Table9[[#This Row],['# Count]]</f>
        <v>1572864</v>
      </c>
    </row>
    <row r="29" spans="8:12" x14ac:dyDescent="0.25">
      <c r="H29">
        <v>1572864</v>
      </c>
      <c r="I29" t="s">
        <v>163</v>
      </c>
      <c r="J29" t="s">
        <v>150</v>
      </c>
      <c r="K29">
        <v>1</v>
      </c>
      <c r="L29">
        <f>Table9[[#This Row],[activated ratio]]*Table9[[#This Row],['# Count]]</f>
        <v>1572864</v>
      </c>
    </row>
    <row r="30" spans="8:12" x14ac:dyDescent="0.25">
      <c r="H30">
        <v>768</v>
      </c>
      <c r="I30" t="s">
        <v>164</v>
      </c>
      <c r="J30" t="s">
        <v>144</v>
      </c>
      <c r="K30">
        <v>1</v>
      </c>
      <c r="L30">
        <f>Table9[[#This Row],[activated ratio]]*Table9[[#This Row],['# Count]]</f>
        <v>768</v>
      </c>
    </row>
    <row r="31" spans="8:12" x14ac:dyDescent="0.25">
      <c r="H31">
        <v>12288</v>
      </c>
      <c r="I31" t="s">
        <v>165</v>
      </c>
      <c r="J31" t="s">
        <v>153</v>
      </c>
      <c r="K31">
        <v>1</v>
      </c>
      <c r="L31">
        <f>Table9[[#This Row],[activated ratio]]*Table9[[#This Row],['# Count]]</f>
        <v>12288</v>
      </c>
    </row>
    <row r="32" spans="8:12" x14ac:dyDescent="0.25">
      <c r="H32" s="49">
        <v>196608</v>
      </c>
      <c r="I32" s="49" t="s">
        <v>242</v>
      </c>
      <c r="J32" s="49" t="s">
        <v>264</v>
      </c>
      <c r="K32" s="49">
        <v>1</v>
      </c>
      <c r="L32" s="49">
        <f>Table9[[#This Row],[activated ratio]]*Table9[[#This Row],['# Count]]</f>
        <v>196608</v>
      </c>
    </row>
    <row r="33" spans="8:12" x14ac:dyDescent="0.25">
      <c r="H33" s="47">
        <v>4194304</v>
      </c>
      <c r="I33" s="47" t="s">
        <v>166</v>
      </c>
      <c r="J33" s="47" t="s">
        <v>265</v>
      </c>
      <c r="K33" s="47">
        <v>0.375</v>
      </c>
      <c r="L33" s="47">
        <f>Table9[[#This Row],[activated ratio]]*Table9[[#This Row],['# Count]]</f>
        <v>1572864</v>
      </c>
    </row>
    <row r="34" spans="8:12" x14ac:dyDescent="0.25">
      <c r="H34" s="47">
        <v>4194304</v>
      </c>
      <c r="I34" s="47" t="s">
        <v>167</v>
      </c>
      <c r="J34" s="47" t="s">
        <v>265</v>
      </c>
      <c r="K34" s="47">
        <v>0.375</v>
      </c>
      <c r="L34" s="47">
        <f>Table9[[#This Row],[activated ratio]]*Table9[[#This Row],['# Count]]</f>
        <v>1572864</v>
      </c>
    </row>
    <row r="35" spans="8:12" x14ac:dyDescent="0.25">
      <c r="H35" s="47">
        <v>4194304</v>
      </c>
      <c r="I35" s="47" t="s">
        <v>168</v>
      </c>
      <c r="J35" s="47" t="s">
        <v>266</v>
      </c>
      <c r="K35" s="47">
        <v>0.375</v>
      </c>
      <c r="L35" s="47">
        <f>Table9[[#This Row],[activated ratio]]*Table9[[#This Row],['# Count]]</f>
        <v>1572864</v>
      </c>
    </row>
    <row r="36" spans="8:12" x14ac:dyDescent="0.25">
      <c r="H36" s="49">
        <v>196608</v>
      </c>
      <c r="I36" s="49" t="s">
        <v>243</v>
      </c>
      <c r="J36" s="49" t="s">
        <v>267</v>
      </c>
      <c r="K36" s="49">
        <v>1</v>
      </c>
      <c r="L36" s="49">
        <f>Table9[[#This Row],[activated ratio]]*Table9[[#This Row],['# Count]]</f>
        <v>196608</v>
      </c>
    </row>
    <row r="37" spans="8:12" x14ac:dyDescent="0.25">
      <c r="H37">
        <v>768</v>
      </c>
      <c r="I37" t="s">
        <v>169</v>
      </c>
      <c r="J37" t="s">
        <v>144</v>
      </c>
      <c r="K37">
        <v>1</v>
      </c>
      <c r="L37">
        <f>Table9[[#This Row],[activated ratio]]*Table9[[#This Row],['# Count]]</f>
        <v>768</v>
      </c>
    </row>
    <row r="38" spans="8:12" x14ac:dyDescent="0.25">
      <c r="H38">
        <v>1572864</v>
      </c>
      <c r="I38" t="s">
        <v>170</v>
      </c>
      <c r="J38" t="s">
        <v>146</v>
      </c>
      <c r="K38">
        <v>1</v>
      </c>
      <c r="L38">
        <f>Table9[[#This Row],[activated ratio]]*Table9[[#This Row],['# Count]]</f>
        <v>1572864</v>
      </c>
    </row>
    <row r="39" spans="8:12" x14ac:dyDescent="0.25">
      <c r="H39">
        <v>1572864</v>
      </c>
      <c r="I39" t="s">
        <v>171</v>
      </c>
      <c r="J39" t="s">
        <v>146</v>
      </c>
      <c r="K39">
        <v>1</v>
      </c>
      <c r="L39">
        <f>Table9[[#This Row],[activated ratio]]*Table9[[#This Row],['# Count]]</f>
        <v>1572864</v>
      </c>
    </row>
    <row r="40" spans="8:12" x14ac:dyDescent="0.25">
      <c r="H40">
        <v>1572864</v>
      </c>
      <c r="I40" t="s">
        <v>172</v>
      </c>
      <c r="J40" t="s">
        <v>146</v>
      </c>
      <c r="K40">
        <v>1</v>
      </c>
      <c r="L40">
        <f>Table9[[#This Row],[activated ratio]]*Table9[[#This Row],['# Count]]</f>
        <v>1572864</v>
      </c>
    </row>
    <row r="41" spans="8:12" x14ac:dyDescent="0.25">
      <c r="H41">
        <v>1572864</v>
      </c>
      <c r="I41" t="s">
        <v>173</v>
      </c>
      <c r="J41" t="s">
        <v>150</v>
      </c>
      <c r="K41">
        <v>1</v>
      </c>
      <c r="L41">
        <f>Table9[[#This Row],[activated ratio]]*Table9[[#This Row],['# Count]]</f>
        <v>1572864</v>
      </c>
    </row>
    <row r="42" spans="8:12" x14ac:dyDescent="0.25">
      <c r="H42">
        <v>768</v>
      </c>
      <c r="I42" t="s">
        <v>174</v>
      </c>
      <c r="J42" t="s">
        <v>144</v>
      </c>
      <c r="K42">
        <v>1</v>
      </c>
      <c r="L42">
        <f>Table9[[#This Row],[activated ratio]]*Table9[[#This Row],['# Count]]</f>
        <v>768</v>
      </c>
    </row>
    <row r="43" spans="8:12" x14ac:dyDescent="0.25">
      <c r="H43">
        <v>12288</v>
      </c>
      <c r="I43" t="s">
        <v>175</v>
      </c>
      <c r="J43" t="s">
        <v>153</v>
      </c>
      <c r="K43">
        <v>1</v>
      </c>
      <c r="L43">
        <f>Table9[[#This Row],[activated ratio]]*Table9[[#This Row],['# Count]]</f>
        <v>12288</v>
      </c>
    </row>
    <row r="44" spans="8:12" x14ac:dyDescent="0.25">
      <c r="H44" s="49">
        <v>196608</v>
      </c>
      <c r="I44" s="49" t="s">
        <v>244</v>
      </c>
      <c r="J44" s="49" t="s">
        <v>264</v>
      </c>
      <c r="K44" s="49">
        <v>1</v>
      </c>
      <c r="L44" s="49">
        <f>Table9[[#This Row],[activated ratio]]*Table9[[#This Row],['# Count]]</f>
        <v>196608</v>
      </c>
    </row>
    <row r="45" spans="8:12" x14ac:dyDescent="0.25">
      <c r="H45" s="47">
        <v>4194304</v>
      </c>
      <c r="I45" s="47" t="s">
        <v>176</v>
      </c>
      <c r="J45" s="47" t="s">
        <v>265</v>
      </c>
      <c r="K45" s="47">
        <v>0.375</v>
      </c>
      <c r="L45" s="47">
        <f>Table9[[#This Row],[activated ratio]]*Table9[[#This Row],['# Count]]</f>
        <v>1572864</v>
      </c>
    </row>
    <row r="46" spans="8:12" x14ac:dyDescent="0.25">
      <c r="H46" s="47">
        <v>4194304</v>
      </c>
      <c r="I46" s="47" t="s">
        <v>177</v>
      </c>
      <c r="J46" s="47" t="s">
        <v>265</v>
      </c>
      <c r="K46" s="47">
        <v>0.375</v>
      </c>
      <c r="L46" s="47">
        <f>Table9[[#This Row],[activated ratio]]*Table9[[#This Row],['# Count]]</f>
        <v>1572864</v>
      </c>
    </row>
    <row r="47" spans="8:12" x14ac:dyDescent="0.25">
      <c r="H47" s="47">
        <v>4194304</v>
      </c>
      <c r="I47" s="47" t="s">
        <v>178</v>
      </c>
      <c r="J47" s="47" t="s">
        <v>266</v>
      </c>
      <c r="K47" s="47">
        <v>0.375</v>
      </c>
      <c r="L47" s="47">
        <f>Table9[[#This Row],[activated ratio]]*Table9[[#This Row],['# Count]]</f>
        <v>1572864</v>
      </c>
    </row>
    <row r="48" spans="8:12" x14ac:dyDescent="0.25">
      <c r="H48" s="49">
        <v>196608</v>
      </c>
      <c r="I48" s="49" t="s">
        <v>245</v>
      </c>
      <c r="J48" s="49" t="s">
        <v>267</v>
      </c>
      <c r="K48" s="49">
        <v>1</v>
      </c>
      <c r="L48" s="49">
        <f>Table9[[#This Row],[activated ratio]]*Table9[[#This Row],['# Count]]</f>
        <v>196608</v>
      </c>
    </row>
    <row r="49" spans="8:12" x14ac:dyDescent="0.25">
      <c r="H49">
        <v>768</v>
      </c>
      <c r="I49" t="s">
        <v>179</v>
      </c>
      <c r="J49" t="s">
        <v>144</v>
      </c>
      <c r="K49">
        <v>1</v>
      </c>
      <c r="L49">
        <f>Table9[[#This Row],[activated ratio]]*Table9[[#This Row],['# Count]]</f>
        <v>768</v>
      </c>
    </row>
    <row r="50" spans="8:12" x14ac:dyDescent="0.25">
      <c r="H50">
        <v>1572864</v>
      </c>
      <c r="I50" t="s">
        <v>180</v>
      </c>
      <c r="J50" t="s">
        <v>146</v>
      </c>
      <c r="K50">
        <v>1</v>
      </c>
      <c r="L50">
        <f>Table9[[#This Row],[activated ratio]]*Table9[[#This Row],['# Count]]</f>
        <v>1572864</v>
      </c>
    </row>
    <row r="51" spans="8:12" x14ac:dyDescent="0.25">
      <c r="H51">
        <v>1572864</v>
      </c>
      <c r="I51" t="s">
        <v>181</v>
      </c>
      <c r="J51" t="s">
        <v>146</v>
      </c>
      <c r="K51">
        <v>1</v>
      </c>
      <c r="L51">
        <f>Table9[[#This Row],[activated ratio]]*Table9[[#This Row],['# Count]]</f>
        <v>1572864</v>
      </c>
    </row>
    <row r="52" spans="8:12" x14ac:dyDescent="0.25">
      <c r="H52">
        <v>1572864</v>
      </c>
      <c r="I52" t="s">
        <v>182</v>
      </c>
      <c r="J52" t="s">
        <v>146</v>
      </c>
      <c r="K52">
        <v>1</v>
      </c>
      <c r="L52">
        <f>Table9[[#This Row],[activated ratio]]*Table9[[#This Row],['# Count]]</f>
        <v>1572864</v>
      </c>
    </row>
    <row r="53" spans="8:12" x14ac:dyDescent="0.25">
      <c r="H53">
        <v>1572864</v>
      </c>
      <c r="I53" t="s">
        <v>183</v>
      </c>
      <c r="J53" t="s">
        <v>150</v>
      </c>
      <c r="K53">
        <v>1</v>
      </c>
      <c r="L53">
        <f>Table9[[#This Row],[activated ratio]]*Table9[[#This Row],['# Count]]</f>
        <v>1572864</v>
      </c>
    </row>
    <row r="54" spans="8:12" x14ac:dyDescent="0.25">
      <c r="H54">
        <v>768</v>
      </c>
      <c r="I54" t="s">
        <v>184</v>
      </c>
      <c r="J54" t="s">
        <v>144</v>
      </c>
      <c r="K54">
        <v>1</v>
      </c>
      <c r="L54">
        <f>Table9[[#This Row],[activated ratio]]*Table9[[#This Row],['# Count]]</f>
        <v>768</v>
      </c>
    </row>
    <row r="55" spans="8:12" x14ac:dyDescent="0.25">
      <c r="H55">
        <v>12288</v>
      </c>
      <c r="I55" t="s">
        <v>185</v>
      </c>
      <c r="J55" t="s">
        <v>153</v>
      </c>
      <c r="K55">
        <v>1</v>
      </c>
      <c r="L55">
        <f>Table9[[#This Row],[activated ratio]]*Table9[[#This Row],['# Count]]</f>
        <v>12288</v>
      </c>
    </row>
    <row r="56" spans="8:12" x14ac:dyDescent="0.25">
      <c r="H56" s="49">
        <v>196608</v>
      </c>
      <c r="I56" s="49" t="s">
        <v>246</v>
      </c>
      <c r="J56" s="49" t="s">
        <v>264</v>
      </c>
      <c r="K56" s="49">
        <v>1</v>
      </c>
      <c r="L56" s="49">
        <f>Table9[[#This Row],[activated ratio]]*Table9[[#This Row],['# Count]]</f>
        <v>196608</v>
      </c>
    </row>
    <row r="57" spans="8:12" x14ac:dyDescent="0.25">
      <c r="H57" s="47">
        <v>4194304</v>
      </c>
      <c r="I57" s="47" t="s">
        <v>186</v>
      </c>
      <c r="J57" s="47" t="s">
        <v>265</v>
      </c>
      <c r="K57" s="47">
        <v>0.375</v>
      </c>
      <c r="L57" s="47">
        <f>Table9[[#This Row],[activated ratio]]*Table9[[#This Row],['# Count]]</f>
        <v>1572864</v>
      </c>
    </row>
    <row r="58" spans="8:12" x14ac:dyDescent="0.25">
      <c r="H58" s="47">
        <v>4194304</v>
      </c>
      <c r="I58" s="47" t="s">
        <v>187</v>
      </c>
      <c r="J58" s="47" t="s">
        <v>265</v>
      </c>
      <c r="K58" s="47">
        <v>0.375</v>
      </c>
      <c r="L58" s="47">
        <f>Table9[[#This Row],[activated ratio]]*Table9[[#This Row],['# Count]]</f>
        <v>1572864</v>
      </c>
    </row>
    <row r="59" spans="8:12" x14ac:dyDescent="0.25">
      <c r="H59" s="47">
        <v>4194304</v>
      </c>
      <c r="I59" s="47" t="s">
        <v>188</v>
      </c>
      <c r="J59" s="47" t="s">
        <v>266</v>
      </c>
      <c r="K59" s="47">
        <v>0.375</v>
      </c>
      <c r="L59" s="47">
        <f>Table9[[#This Row],[activated ratio]]*Table9[[#This Row],['# Count]]</f>
        <v>1572864</v>
      </c>
    </row>
    <row r="60" spans="8:12" x14ac:dyDescent="0.25">
      <c r="H60" s="49">
        <v>196608</v>
      </c>
      <c r="I60" s="49" t="s">
        <v>247</v>
      </c>
      <c r="J60" s="49" t="s">
        <v>267</v>
      </c>
      <c r="K60" s="49">
        <v>1</v>
      </c>
      <c r="L60" s="49">
        <f>Table9[[#This Row],[activated ratio]]*Table9[[#This Row],['# Count]]</f>
        <v>196608</v>
      </c>
    </row>
    <row r="61" spans="8:12" x14ac:dyDescent="0.25">
      <c r="H61">
        <v>768</v>
      </c>
      <c r="I61" t="s">
        <v>189</v>
      </c>
      <c r="J61" t="s">
        <v>144</v>
      </c>
      <c r="K61">
        <v>1</v>
      </c>
      <c r="L61">
        <f>Table9[[#This Row],[activated ratio]]*Table9[[#This Row],['# Count]]</f>
        <v>768</v>
      </c>
    </row>
    <row r="62" spans="8:12" x14ac:dyDescent="0.25">
      <c r="H62">
        <v>1572864</v>
      </c>
      <c r="I62" t="s">
        <v>190</v>
      </c>
      <c r="J62" t="s">
        <v>146</v>
      </c>
      <c r="K62">
        <v>1</v>
      </c>
      <c r="L62">
        <f>Table9[[#This Row],[activated ratio]]*Table9[[#This Row],['# Count]]</f>
        <v>1572864</v>
      </c>
    </row>
    <row r="63" spans="8:12" x14ac:dyDescent="0.25">
      <c r="H63">
        <v>1572864</v>
      </c>
      <c r="I63" t="s">
        <v>191</v>
      </c>
      <c r="J63" t="s">
        <v>146</v>
      </c>
      <c r="K63">
        <v>1</v>
      </c>
      <c r="L63">
        <f>Table9[[#This Row],[activated ratio]]*Table9[[#This Row],['# Count]]</f>
        <v>1572864</v>
      </c>
    </row>
    <row r="64" spans="8:12" x14ac:dyDescent="0.25">
      <c r="H64">
        <v>1572864</v>
      </c>
      <c r="I64" t="s">
        <v>192</v>
      </c>
      <c r="J64" t="s">
        <v>146</v>
      </c>
      <c r="K64">
        <v>1</v>
      </c>
      <c r="L64">
        <f>Table9[[#This Row],[activated ratio]]*Table9[[#This Row],['# Count]]</f>
        <v>1572864</v>
      </c>
    </row>
    <row r="65" spans="8:12" x14ac:dyDescent="0.25">
      <c r="H65">
        <v>1572864</v>
      </c>
      <c r="I65" t="s">
        <v>193</v>
      </c>
      <c r="J65" t="s">
        <v>150</v>
      </c>
      <c r="K65">
        <v>1</v>
      </c>
      <c r="L65">
        <f>Table9[[#This Row],[activated ratio]]*Table9[[#This Row],['# Count]]</f>
        <v>1572864</v>
      </c>
    </row>
    <row r="66" spans="8:12" x14ac:dyDescent="0.25">
      <c r="H66">
        <v>768</v>
      </c>
      <c r="I66" t="s">
        <v>194</v>
      </c>
      <c r="J66" t="s">
        <v>144</v>
      </c>
      <c r="K66">
        <v>1</v>
      </c>
      <c r="L66">
        <f>Table9[[#This Row],[activated ratio]]*Table9[[#This Row],['# Count]]</f>
        <v>768</v>
      </c>
    </row>
    <row r="67" spans="8:12" x14ac:dyDescent="0.25">
      <c r="H67">
        <v>12288</v>
      </c>
      <c r="I67" t="s">
        <v>195</v>
      </c>
      <c r="J67" t="s">
        <v>153</v>
      </c>
      <c r="K67">
        <v>1</v>
      </c>
      <c r="L67">
        <f>Table9[[#This Row],[activated ratio]]*Table9[[#This Row],['# Count]]</f>
        <v>12288</v>
      </c>
    </row>
    <row r="68" spans="8:12" x14ac:dyDescent="0.25">
      <c r="H68" s="49">
        <v>196608</v>
      </c>
      <c r="I68" s="49" t="s">
        <v>248</v>
      </c>
      <c r="J68" s="49" t="s">
        <v>264</v>
      </c>
      <c r="K68" s="49">
        <v>1</v>
      </c>
      <c r="L68" s="49">
        <f>Table9[[#This Row],[activated ratio]]*Table9[[#This Row],['# Count]]</f>
        <v>196608</v>
      </c>
    </row>
    <row r="69" spans="8:12" x14ac:dyDescent="0.25">
      <c r="H69" s="47">
        <v>4194304</v>
      </c>
      <c r="I69" s="47" t="s">
        <v>196</v>
      </c>
      <c r="J69" s="47" t="s">
        <v>265</v>
      </c>
      <c r="K69" s="47">
        <v>0.375</v>
      </c>
      <c r="L69" s="47">
        <f>Table9[[#This Row],[activated ratio]]*Table9[[#This Row],['# Count]]</f>
        <v>1572864</v>
      </c>
    </row>
    <row r="70" spans="8:12" x14ac:dyDescent="0.25">
      <c r="H70" s="47">
        <v>4194304</v>
      </c>
      <c r="I70" s="47" t="s">
        <v>197</v>
      </c>
      <c r="J70" s="47" t="s">
        <v>265</v>
      </c>
      <c r="K70" s="47">
        <v>0.375</v>
      </c>
      <c r="L70" s="47">
        <f>Table9[[#This Row],[activated ratio]]*Table9[[#This Row],['# Count]]</f>
        <v>1572864</v>
      </c>
    </row>
    <row r="71" spans="8:12" x14ac:dyDescent="0.25">
      <c r="H71" s="47">
        <v>4194304</v>
      </c>
      <c r="I71" s="47" t="s">
        <v>198</v>
      </c>
      <c r="J71" s="47" t="s">
        <v>266</v>
      </c>
      <c r="K71" s="47">
        <v>0.375</v>
      </c>
      <c r="L71" s="47">
        <f>Table9[[#This Row],[activated ratio]]*Table9[[#This Row],['# Count]]</f>
        <v>1572864</v>
      </c>
    </row>
    <row r="72" spans="8:12" x14ac:dyDescent="0.25">
      <c r="H72" s="49">
        <v>196608</v>
      </c>
      <c r="I72" s="49" t="s">
        <v>249</v>
      </c>
      <c r="J72" s="49" t="s">
        <v>267</v>
      </c>
      <c r="K72" s="49">
        <v>1</v>
      </c>
      <c r="L72" s="49">
        <f>Table9[[#This Row],[activated ratio]]*Table9[[#This Row],['# Count]]</f>
        <v>196608</v>
      </c>
    </row>
    <row r="73" spans="8:12" x14ac:dyDescent="0.25">
      <c r="H73">
        <v>768</v>
      </c>
      <c r="I73" t="s">
        <v>199</v>
      </c>
      <c r="J73" t="s">
        <v>144</v>
      </c>
      <c r="K73">
        <v>1</v>
      </c>
      <c r="L73">
        <f>Table9[[#This Row],[activated ratio]]*Table9[[#This Row],['# Count]]</f>
        <v>768</v>
      </c>
    </row>
    <row r="74" spans="8:12" x14ac:dyDescent="0.25">
      <c r="H74">
        <v>1572864</v>
      </c>
      <c r="I74" t="s">
        <v>200</v>
      </c>
      <c r="J74" t="s">
        <v>146</v>
      </c>
      <c r="K74">
        <v>1</v>
      </c>
      <c r="L74">
        <f>Table9[[#This Row],[activated ratio]]*Table9[[#This Row],['# Count]]</f>
        <v>1572864</v>
      </c>
    </row>
    <row r="75" spans="8:12" x14ac:dyDescent="0.25">
      <c r="H75">
        <v>1572864</v>
      </c>
      <c r="I75" t="s">
        <v>201</v>
      </c>
      <c r="J75" t="s">
        <v>146</v>
      </c>
      <c r="K75">
        <v>1</v>
      </c>
      <c r="L75">
        <f>Table9[[#This Row],[activated ratio]]*Table9[[#This Row],['# Count]]</f>
        <v>1572864</v>
      </c>
    </row>
    <row r="76" spans="8:12" x14ac:dyDescent="0.25">
      <c r="H76">
        <v>1572864</v>
      </c>
      <c r="I76" t="s">
        <v>202</v>
      </c>
      <c r="J76" t="s">
        <v>146</v>
      </c>
      <c r="K76">
        <v>1</v>
      </c>
      <c r="L76">
        <f>Table9[[#This Row],[activated ratio]]*Table9[[#This Row],['# Count]]</f>
        <v>1572864</v>
      </c>
    </row>
    <row r="77" spans="8:12" x14ac:dyDescent="0.25">
      <c r="H77">
        <v>1572864</v>
      </c>
      <c r="I77" t="s">
        <v>203</v>
      </c>
      <c r="J77" t="s">
        <v>150</v>
      </c>
      <c r="K77">
        <v>1</v>
      </c>
      <c r="L77">
        <f>Table9[[#This Row],[activated ratio]]*Table9[[#This Row],['# Count]]</f>
        <v>1572864</v>
      </c>
    </row>
    <row r="78" spans="8:12" x14ac:dyDescent="0.25">
      <c r="H78">
        <v>768</v>
      </c>
      <c r="I78" t="s">
        <v>204</v>
      </c>
      <c r="J78" t="s">
        <v>144</v>
      </c>
      <c r="K78">
        <v>1</v>
      </c>
      <c r="L78">
        <f>Table9[[#This Row],[activated ratio]]*Table9[[#This Row],['# Count]]</f>
        <v>768</v>
      </c>
    </row>
    <row r="79" spans="8:12" x14ac:dyDescent="0.25">
      <c r="H79">
        <v>12288</v>
      </c>
      <c r="I79" t="s">
        <v>205</v>
      </c>
      <c r="J79" t="s">
        <v>153</v>
      </c>
      <c r="K79">
        <v>1</v>
      </c>
      <c r="L79">
        <f>Table9[[#This Row],[activated ratio]]*Table9[[#This Row],['# Count]]</f>
        <v>12288</v>
      </c>
    </row>
    <row r="80" spans="8:12" x14ac:dyDescent="0.25">
      <c r="H80" s="49">
        <v>196608</v>
      </c>
      <c r="I80" s="49" t="s">
        <v>250</v>
      </c>
      <c r="J80" s="49" t="s">
        <v>264</v>
      </c>
      <c r="K80" s="49">
        <v>1</v>
      </c>
      <c r="L80" s="49">
        <f>Table9[[#This Row],[activated ratio]]*Table9[[#This Row],['# Count]]</f>
        <v>196608</v>
      </c>
    </row>
    <row r="81" spans="8:12" x14ac:dyDescent="0.25">
      <c r="H81" s="47">
        <v>4194304</v>
      </c>
      <c r="I81" s="47" t="s">
        <v>206</v>
      </c>
      <c r="J81" s="47" t="s">
        <v>265</v>
      </c>
      <c r="K81" s="47">
        <v>0.375</v>
      </c>
      <c r="L81" s="47">
        <f>Table9[[#This Row],[activated ratio]]*Table9[[#This Row],['# Count]]</f>
        <v>1572864</v>
      </c>
    </row>
    <row r="82" spans="8:12" x14ac:dyDescent="0.25">
      <c r="H82" s="47">
        <v>4194304</v>
      </c>
      <c r="I82" s="47" t="s">
        <v>207</v>
      </c>
      <c r="J82" s="47" t="s">
        <v>265</v>
      </c>
      <c r="K82" s="47">
        <v>0.375</v>
      </c>
      <c r="L82" s="47">
        <f>Table9[[#This Row],[activated ratio]]*Table9[[#This Row],['# Count]]</f>
        <v>1572864</v>
      </c>
    </row>
    <row r="83" spans="8:12" x14ac:dyDescent="0.25">
      <c r="H83" s="47">
        <v>4194304</v>
      </c>
      <c r="I83" s="47" t="s">
        <v>208</v>
      </c>
      <c r="J83" s="47" t="s">
        <v>266</v>
      </c>
      <c r="K83" s="47">
        <v>0.375</v>
      </c>
      <c r="L83" s="47">
        <f>Table9[[#This Row],[activated ratio]]*Table9[[#This Row],['# Count]]</f>
        <v>1572864</v>
      </c>
    </row>
    <row r="84" spans="8:12" x14ac:dyDescent="0.25">
      <c r="H84" s="49">
        <v>196608</v>
      </c>
      <c r="I84" s="49" t="s">
        <v>251</v>
      </c>
      <c r="J84" s="49" t="s">
        <v>267</v>
      </c>
      <c r="K84" s="49">
        <v>1</v>
      </c>
      <c r="L84" s="49">
        <f>Table9[[#This Row],[activated ratio]]*Table9[[#This Row],['# Count]]</f>
        <v>196608</v>
      </c>
    </row>
    <row r="85" spans="8:12" x14ac:dyDescent="0.25">
      <c r="H85">
        <v>768</v>
      </c>
      <c r="I85" t="s">
        <v>209</v>
      </c>
      <c r="J85" t="s">
        <v>144</v>
      </c>
      <c r="K85">
        <v>1</v>
      </c>
      <c r="L85">
        <f>Table9[[#This Row],[activated ratio]]*Table9[[#This Row],['# Count]]</f>
        <v>768</v>
      </c>
    </row>
    <row r="86" spans="8:12" x14ac:dyDescent="0.25">
      <c r="H86">
        <v>1572864</v>
      </c>
      <c r="I86" t="s">
        <v>210</v>
      </c>
      <c r="J86" t="s">
        <v>146</v>
      </c>
      <c r="K86">
        <v>1</v>
      </c>
      <c r="L86">
        <f>Table9[[#This Row],[activated ratio]]*Table9[[#This Row],['# Count]]</f>
        <v>1572864</v>
      </c>
    </row>
    <row r="87" spans="8:12" x14ac:dyDescent="0.25">
      <c r="H87">
        <v>1572864</v>
      </c>
      <c r="I87" t="s">
        <v>211</v>
      </c>
      <c r="J87" t="s">
        <v>146</v>
      </c>
      <c r="K87">
        <v>1</v>
      </c>
      <c r="L87">
        <f>Table9[[#This Row],[activated ratio]]*Table9[[#This Row],['# Count]]</f>
        <v>1572864</v>
      </c>
    </row>
    <row r="88" spans="8:12" x14ac:dyDescent="0.25">
      <c r="H88">
        <v>1572864</v>
      </c>
      <c r="I88" t="s">
        <v>212</v>
      </c>
      <c r="J88" t="s">
        <v>146</v>
      </c>
      <c r="K88">
        <v>1</v>
      </c>
      <c r="L88">
        <f>Table9[[#This Row],[activated ratio]]*Table9[[#This Row],['# Count]]</f>
        <v>1572864</v>
      </c>
    </row>
    <row r="89" spans="8:12" x14ac:dyDescent="0.25">
      <c r="H89">
        <v>1572864</v>
      </c>
      <c r="I89" t="s">
        <v>213</v>
      </c>
      <c r="J89" t="s">
        <v>150</v>
      </c>
      <c r="K89">
        <v>1</v>
      </c>
      <c r="L89">
        <f>Table9[[#This Row],[activated ratio]]*Table9[[#This Row],['# Count]]</f>
        <v>1572864</v>
      </c>
    </row>
    <row r="90" spans="8:12" x14ac:dyDescent="0.25">
      <c r="H90">
        <v>768</v>
      </c>
      <c r="I90" t="s">
        <v>214</v>
      </c>
      <c r="J90" t="s">
        <v>144</v>
      </c>
      <c r="K90">
        <v>1</v>
      </c>
      <c r="L90">
        <f>Table9[[#This Row],[activated ratio]]*Table9[[#This Row],['# Count]]</f>
        <v>768</v>
      </c>
    </row>
    <row r="91" spans="8:12" x14ac:dyDescent="0.25">
      <c r="H91">
        <v>12288</v>
      </c>
      <c r="I91" t="s">
        <v>215</v>
      </c>
      <c r="J91" t="s">
        <v>153</v>
      </c>
      <c r="K91">
        <v>1</v>
      </c>
      <c r="L91">
        <f>Table9[[#This Row],[activated ratio]]*Table9[[#This Row],['# Count]]</f>
        <v>12288</v>
      </c>
    </row>
    <row r="92" spans="8:12" x14ac:dyDescent="0.25">
      <c r="H92" s="49">
        <v>196608</v>
      </c>
      <c r="I92" s="49" t="s">
        <v>252</v>
      </c>
      <c r="J92" s="49" t="s">
        <v>264</v>
      </c>
      <c r="K92" s="49">
        <v>1</v>
      </c>
      <c r="L92" s="49">
        <f>Table9[[#This Row],[activated ratio]]*Table9[[#This Row],['# Count]]</f>
        <v>196608</v>
      </c>
    </row>
    <row r="93" spans="8:12" x14ac:dyDescent="0.25">
      <c r="H93" s="47">
        <v>4194304</v>
      </c>
      <c r="I93" s="47" t="s">
        <v>216</v>
      </c>
      <c r="J93" s="47" t="s">
        <v>265</v>
      </c>
      <c r="K93" s="47">
        <v>0.375</v>
      </c>
      <c r="L93" s="47">
        <f>Table9[[#This Row],[activated ratio]]*Table9[[#This Row],['# Count]]</f>
        <v>1572864</v>
      </c>
    </row>
    <row r="94" spans="8:12" x14ac:dyDescent="0.25">
      <c r="H94" s="47">
        <v>4194304</v>
      </c>
      <c r="I94" s="47" t="s">
        <v>217</v>
      </c>
      <c r="J94" s="47" t="s">
        <v>265</v>
      </c>
      <c r="K94" s="47">
        <v>0.375</v>
      </c>
      <c r="L94" s="47">
        <f>Table9[[#This Row],[activated ratio]]*Table9[[#This Row],['# Count]]</f>
        <v>1572864</v>
      </c>
    </row>
    <row r="95" spans="8:12" x14ac:dyDescent="0.25">
      <c r="H95" s="47">
        <v>4194304</v>
      </c>
      <c r="I95" s="47" t="s">
        <v>218</v>
      </c>
      <c r="J95" s="47" t="s">
        <v>266</v>
      </c>
      <c r="K95" s="47">
        <v>0.375</v>
      </c>
      <c r="L95" s="47">
        <f>Table9[[#This Row],[activated ratio]]*Table9[[#This Row],['# Count]]</f>
        <v>1572864</v>
      </c>
    </row>
    <row r="96" spans="8:12" x14ac:dyDescent="0.25">
      <c r="H96" s="49">
        <v>196608</v>
      </c>
      <c r="I96" s="49" t="s">
        <v>253</v>
      </c>
      <c r="J96" s="49" t="s">
        <v>267</v>
      </c>
      <c r="K96" s="49">
        <v>1</v>
      </c>
      <c r="L96" s="49">
        <f>Table9[[#This Row],[activated ratio]]*Table9[[#This Row],['# Count]]</f>
        <v>196608</v>
      </c>
    </row>
    <row r="97" spans="8:12" x14ac:dyDescent="0.25">
      <c r="H97">
        <v>768</v>
      </c>
      <c r="I97" t="s">
        <v>219</v>
      </c>
      <c r="J97" t="s">
        <v>144</v>
      </c>
      <c r="K97">
        <v>1</v>
      </c>
      <c r="L97">
        <f>Table9[[#This Row],[activated ratio]]*Table9[[#This Row],['# Count]]</f>
        <v>768</v>
      </c>
    </row>
    <row r="98" spans="8:12" x14ac:dyDescent="0.25">
      <c r="H98">
        <v>1572864</v>
      </c>
      <c r="I98" t="s">
        <v>220</v>
      </c>
      <c r="J98" t="s">
        <v>146</v>
      </c>
      <c r="K98">
        <v>1</v>
      </c>
      <c r="L98">
        <f>Table9[[#This Row],[activated ratio]]*Table9[[#This Row],['# Count]]</f>
        <v>1572864</v>
      </c>
    </row>
    <row r="99" spans="8:12" x14ac:dyDescent="0.25">
      <c r="H99">
        <v>1572864</v>
      </c>
      <c r="I99" t="s">
        <v>221</v>
      </c>
      <c r="J99" t="s">
        <v>146</v>
      </c>
      <c r="K99">
        <v>1</v>
      </c>
      <c r="L99">
        <f>Table9[[#This Row],[activated ratio]]*Table9[[#This Row],['# Count]]</f>
        <v>1572864</v>
      </c>
    </row>
    <row r="100" spans="8:12" x14ac:dyDescent="0.25">
      <c r="H100">
        <v>1572864</v>
      </c>
      <c r="I100" t="s">
        <v>222</v>
      </c>
      <c r="J100" t="s">
        <v>146</v>
      </c>
      <c r="K100">
        <v>1</v>
      </c>
      <c r="L100">
        <f>Table9[[#This Row],[activated ratio]]*Table9[[#This Row],['# Count]]</f>
        <v>1572864</v>
      </c>
    </row>
    <row r="101" spans="8:12" x14ac:dyDescent="0.25">
      <c r="H101">
        <v>1572864</v>
      </c>
      <c r="I101" t="s">
        <v>223</v>
      </c>
      <c r="J101" t="s">
        <v>150</v>
      </c>
      <c r="K101">
        <v>1</v>
      </c>
      <c r="L101">
        <f>Table9[[#This Row],[activated ratio]]*Table9[[#This Row],['# Count]]</f>
        <v>1572864</v>
      </c>
    </row>
    <row r="102" spans="8:12" x14ac:dyDescent="0.25">
      <c r="H102">
        <v>768</v>
      </c>
      <c r="I102" t="s">
        <v>224</v>
      </c>
      <c r="J102" t="s">
        <v>144</v>
      </c>
      <c r="K102">
        <v>1</v>
      </c>
      <c r="L102">
        <f>Table9[[#This Row],[activated ratio]]*Table9[[#This Row],['# Count]]</f>
        <v>768</v>
      </c>
    </row>
    <row r="103" spans="8:12" x14ac:dyDescent="0.25">
      <c r="H103">
        <v>12288</v>
      </c>
      <c r="I103" t="s">
        <v>225</v>
      </c>
      <c r="J103" t="s">
        <v>153</v>
      </c>
      <c r="K103">
        <v>1</v>
      </c>
      <c r="L103">
        <f>Table9[[#This Row],[activated ratio]]*Table9[[#This Row],['# Count]]</f>
        <v>12288</v>
      </c>
    </row>
    <row r="104" spans="8:12" x14ac:dyDescent="0.25">
      <c r="H104" s="49">
        <v>196608</v>
      </c>
      <c r="I104" s="49" t="s">
        <v>254</v>
      </c>
      <c r="J104" s="49" t="s">
        <v>264</v>
      </c>
      <c r="K104" s="49">
        <v>1</v>
      </c>
      <c r="L104" s="49">
        <f>Table9[[#This Row],[activated ratio]]*Table9[[#This Row],['# Count]]</f>
        <v>196608</v>
      </c>
    </row>
    <row r="105" spans="8:12" x14ac:dyDescent="0.25">
      <c r="H105" s="47">
        <v>4194304</v>
      </c>
      <c r="I105" s="47" t="s">
        <v>226</v>
      </c>
      <c r="J105" s="47" t="s">
        <v>265</v>
      </c>
      <c r="K105" s="47">
        <v>0.375</v>
      </c>
      <c r="L105" s="47">
        <f>Table9[[#This Row],[activated ratio]]*Table9[[#This Row],['# Count]]</f>
        <v>1572864</v>
      </c>
    </row>
    <row r="106" spans="8:12" x14ac:dyDescent="0.25">
      <c r="H106" s="47">
        <v>4194304</v>
      </c>
      <c r="I106" s="47" t="s">
        <v>227</v>
      </c>
      <c r="J106" s="47" t="s">
        <v>265</v>
      </c>
      <c r="K106" s="47">
        <v>0.375</v>
      </c>
      <c r="L106" s="47">
        <f>Table9[[#This Row],[activated ratio]]*Table9[[#This Row],['# Count]]</f>
        <v>1572864</v>
      </c>
    </row>
    <row r="107" spans="8:12" x14ac:dyDescent="0.25">
      <c r="H107" s="47">
        <v>4194304</v>
      </c>
      <c r="I107" s="47" t="s">
        <v>228</v>
      </c>
      <c r="J107" s="47" t="s">
        <v>266</v>
      </c>
      <c r="K107" s="47">
        <v>0.375</v>
      </c>
      <c r="L107" s="47">
        <f>Table9[[#This Row],[activated ratio]]*Table9[[#This Row],['# Count]]</f>
        <v>1572864</v>
      </c>
    </row>
    <row r="108" spans="8:12" x14ac:dyDescent="0.25">
      <c r="H108" s="49">
        <v>196608</v>
      </c>
      <c r="I108" s="49" t="s">
        <v>255</v>
      </c>
      <c r="J108" s="49" t="s">
        <v>267</v>
      </c>
      <c r="K108" s="49">
        <v>1</v>
      </c>
      <c r="L108" s="49">
        <f>Table9[[#This Row],[activated ratio]]*Table9[[#This Row],['# Count]]</f>
        <v>196608</v>
      </c>
    </row>
    <row r="109" spans="8:12" x14ac:dyDescent="0.25">
      <c r="H109">
        <v>768</v>
      </c>
      <c r="I109" t="s">
        <v>229</v>
      </c>
      <c r="J109" t="s">
        <v>144</v>
      </c>
      <c r="K109">
        <v>1</v>
      </c>
      <c r="L109">
        <f>Table9[[#This Row],[activated ratio]]*Table9[[#This Row],['# Count]]</f>
        <v>768</v>
      </c>
    </row>
    <row r="110" spans="8:12" x14ac:dyDescent="0.25">
      <c r="H110">
        <v>24576000</v>
      </c>
      <c r="I110" t="s">
        <v>230</v>
      </c>
      <c r="J110" t="s">
        <v>142</v>
      </c>
      <c r="K110">
        <v>1</v>
      </c>
      <c r="L110">
        <f>Table9[[#This Row],[activated ratio]]*Table9[[#This Row],['# Count]]</f>
        <v>24576000</v>
      </c>
    </row>
    <row r="111" spans="8:12" x14ac:dyDescent="0.25">
      <c r="H111">
        <f>SUBTOTAL(109,Table9['# Count])</f>
        <v>203404032</v>
      </c>
      <c r="L111">
        <f>SUBTOTAL(109,Table9[activated])</f>
        <v>140489472</v>
      </c>
    </row>
    <row r="114" spans="11:12" x14ac:dyDescent="0.25">
      <c r="K114" t="s">
        <v>269</v>
      </c>
      <c r="L114">
        <v>3145728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0119-raw</vt:lpstr>
      <vt:lpstr>0213-raw</vt:lpstr>
      <vt:lpstr>0716-raw</vt:lpstr>
      <vt:lpstr>pivot</vt:lpstr>
      <vt:lpstr>0119-v-0716</vt:lpstr>
      <vt:lpstr>917-latentmoe</vt:lpstr>
      <vt:lpstr>l1_param</vt:lpstr>
      <vt:lpstr>l2_param</vt:lpstr>
      <vt:lpstr>l4_param</vt:lpstr>
      <vt:lpstr>l6_param</vt:lpstr>
      <vt:lpstr>l3_param</vt:lpstr>
      <vt:lpstr>l3_eff</vt:lpstr>
      <vt:lpstr>l3_acc</vt:lpstr>
      <vt:lpstr>l3_bal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Vui Seng Chua</dc:creator>
  <cp:lastModifiedBy>Vui Seng Chua</cp:lastModifiedBy>
  <dcterms:created xsi:type="dcterms:W3CDTF">2026-07-16T03:56:09Z</dcterms:created>
  <dcterms:modified xsi:type="dcterms:W3CDTF">2026-07-23T23:56:02Z</dcterms:modified>
</cp:coreProperties>
</file>